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ver" sheetId="1" state="visible" r:id="rId1"/>
    <sheet name="Comps" sheetId="2" state="visible" r:id="rId2"/>
    <sheet name="Inclusion" sheetId="3" state="visible" r:id="rId3"/>
    <sheet name="Sources" sheetId="4" state="visible" r:id="rId4"/>
  </sheets>
  <definedNames>
    <definedName name="_xlnm.Print_Area" localSheetId="0">'Cover'!$A$1:$H$37</definedName>
    <definedName name="_xlnm.Print_Area" localSheetId="1">'Comps'!$A$1:$J$64</definedName>
    <definedName name="_xlnm.Print_Area" localSheetId="2">'Inclusion'!$A$1:$F$41</definedName>
  </definedNames>
  <calcPr calcId="124519" fullCalcOnLoad="1"/>
</workbook>
</file>

<file path=xl/styles.xml><?xml version="1.0" encoding="utf-8"?>
<styleSheet xmlns="http://schemas.openxmlformats.org/spreadsheetml/2006/main">
  <numFmts count="5">
    <numFmt numFmtId="164" formatCode="0.00_);\(0.00\)"/>
    <numFmt numFmtId="165" formatCode="#,##0,,_);\(#,##0,,\)"/>
    <numFmt numFmtId="166" formatCode="&quot;$&quot;#,##0,,_);\(&quot;$&quot;#,##0,,\)"/>
    <numFmt numFmtId="167" formatCode="0.0%_);\(0.0%\)"/>
    <numFmt numFmtId="168" formatCode="0.0&quot;x&quot;"/>
  </numFmts>
  <fonts count="21">
    <font>
      <name val="Calibri"/>
      <family val="2"/>
      <color theme="1"/>
      <sz val="11"/>
      <scheme val="minor"/>
    </font>
    <font>
      <b val="1"/>
      <color rgb="FF264D82"/>
      <sz val="10"/>
    </font>
    <font>
      <sz val="10"/>
    </font>
    <font>
      <color rgb="FF808080"/>
      <sz val="10"/>
    </font>
    <font>
      <color rgb="FF0000FF"/>
      <sz val="10"/>
    </font>
    <font>
      <color rgb="FF808080"/>
      <sz val="8"/>
    </font>
    <font>
      <b val="1"/>
      <sz val="10"/>
    </font>
    <font>
      <i val="1"/>
      <color rgb="FF808080"/>
      <sz val="10"/>
    </font>
    <font>
      <i val="1"/>
      <sz val="10"/>
    </font>
    <font>
      <i val="1"/>
      <color rgb="FF808080"/>
      <sz val="8"/>
    </font>
    <font>
      <b val="1"/>
      <color rgb="FF264D82"/>
      <sz val="11"/>
    </font>
    <font>
      <b val="1"/>
      <color rgb="FF264D82"/>
      <sz val="12"/>
    </font>
    <font>
      <i val="1"/>
      <color rgb="FF808080"/>
      <sz val="9"/>
    </font>
    <font>
      <b val="1"/>
      <color rgb="FF264D82"/>
      <sz val="9"/>
    </font>
    <font>
      <b val="1"/>
      <color rgb="FF808080"/>
      <sz val="8"/>
    </font>
    <font>
      <i val="1"/>
      <color rgb="FFC00000"/>
      <sz val="9"/>
    </font>
    <font>
      <color rgb="FF808080"/>
      <sz val="9"/>
    </font>
    <font>
      <color rgb="FF0563C1"/>
      <sz val="9"/>
      <u val="single"/>
    </font>
    <font>
      <b val="1"/>
      <color rgb="FF264D82"/>
      <sz val="18"/>
    </font>
    <font>
      <b val="1"/>
      <color rgb="FFC00000"/>
      <sz val="10"/>
    </font>
    <font>
      <color rgb="FF333333"/>
      <sz val="9"/>
    </font>
  </fonts>
  <fills count="4">
    <fill>
      <patternFill/>
    </fill>
    <fill>
      <patternFill patternType="gray125"/>
    </fill>
    <fill>
      <patternFill patternType="solid">
        <fgColor rgb="FFFFF2CC"/>
      </patternFill>
    </fill>
    <fill>
      <patternFill patternType="solid">
        <fgColor rgb="FF0F172A"/>
      </patternFill>
    </fill>
  </fills>
  <borders count="2">
    <border>
      <left/>
      <right/>
      <top/>
      <bottom/>
      <diagonal/>
    </border>
    <border>
      <bottom style="thin">
        <color rgb="FF264D82"/>
      </bottom>
    </border>
  </borders>
  <cellStyleXfs count="1">
    <xf numFmtId="0" fontId="0" fillId="0" borderId="0"/>
  </cellStyleXfs>
  <cellXfs count="35">
    <xf numFmtId="0" fontId="0" fillId="0" borderId="0" pivotButton="0" quotePrefix="0" xfId="0"/>
    <xf numFmtId="0" fontId="0" fillId="3" borderId="0" pivotButton="0" quotePrefix="0" xfId="0"/>
    <xf numFmtId="0" fontId="18" fillId="0" borderId="0" pivotButton="0" quotePrefix="0" xfId="0"/>
    <xf numFmtId="0" fontId="7" fillId="0" borderId="0" pivotButton="0" quotePrefix="0" xfId="0"/>
    <xf numFmtId="0" fontId="1" fillId="0" borderId="1" pivotButton="0" quotePrefix="0" xfId="0"/>
    <xf numFmtId="0" fontId="0" fillId="0" borderId="1" pivotButton="0" quotePrefix="0" xfId="0"/>
    <xf numFmtId="0" fontId="16" fillId="0" borderId="0" applyAlignment="1" pivotButton="0" quotePrefix="0" xfId="0">
      <alignment vertical="top" wrapText="1"/>
    </xf>
    <xf numFmtId="0" fontId="19" fillId="0" borderId="1" pivotButton="0" quotePrefix="0" xfId="0"/>
    <xf numFmtId="0" fontId="20" fillId="0" borderId="0" applyAlignment="1" pivotButton="0" quotePrefix="0" xfId="0">
      <alignment vertical="top" wrapText="1"/>
    </xf>
    <xf numFmtId="0" fontId="10" fillId="0" borderId="0" pivotButton="0" quotePrefix="0" xfId="0"/>
    <xf numFmtId="0" fontId="11" fillId="0" borderId="0" pivotButton="0" quotePrefix="0" xfId="0"/>
    <xf numFmtId="0" fontId="12" fillId="0" borderId="0" pivotButton="0" quotePrefix="0" xfId="0"/>
    <xf numFmtId="0" fontId="13" fillId="0" borderId="0" pivotButton="0" quotePrefix="0" xfId="0"/>
    <xf numFmtId="0" fontId="1" fillId="0" borderId="1" applyAlignment="1" pivotButton="0" quotePrefix="0" xfId="0">
      <alignment horizontal="right"/>
    </xf>
    <xf numFmtId="0" fontId="14" fillId="0" borderId="0" pivotButton="0" quotePrefix="0" xfId="0"/>
    <xf numFmtId="0" fontId="2" fillId="0" borderId="0" pivotButton="0" quotePrefix="0" xfId="0"/>
    <xf numFmtId="164" fontId="4" fillId="2" borderId="0" applyAlignment="1" pivotButton="0" quotePrefix="0" xfId="0">
      <alignment horizontal="right"/>
    </xf>
    <xf numFmtId="165" fontId="4" fillId="0" borderId="0" pivotButton="0" quotePrefix="0" xfId="0"/>
    <xf numFmtId="0" fontId="5" fillId="0" borderId="0" applyAlignment="1" pivotButton="0" quotePrefix="0" xfId="0">
      <alignment horizontal="left"/>
    </xf>
    <xf numFmtId="0" fontId="6" fillId="0" borderId="0" pivotButton="0" quotePrefix="0" xfId="0"/>
    <xf numFmtId="166" fontId="6" fillId="0" borderId="0" pivotButton="0" quotePrefix="0" xfId="0"/>
    <xf numFmtId="166" fontId="4" fillId="0" borderId="0" pivotButton="0" quotePrefix="0" xfId="0"/>
    <xf numFmtId="166" fontId="3" fillId="0" borderId="0" applyAlignment="1" pivotButton="0" quotePrefix="0" xfId="0">
      <alignment horizontal="right"/>
    </xf>
    <xf numFmtId="0" fontId="8" fillId="0" borderId="0" pivotButton="0" quotePrefix="0" xfId="0"/>
    <xf numFmtId="167" fontId="8" fillId="0" borderId="0" pivotButton="0" quotePrefix="0" xfId="0"/>
    <xf numFmtId="164" fontId="4" fillId="0" borderId="0" pivotButton="0" quotePrefix="0" xfId="0"/>
    <xf numFmtId="168" fontId="2" fillId="0" borderId="0" pivotButton="0" quotePrefix="0" xfId="0"/>
    <xf numFmtId="166" fontId="4" fillId="2" borderId="0" applyAlignment="1" pivotButton="0" quotePrefix="0" xfId="0">
      <alignment horizontal="right"/>
    </xf>
    <xf numFmtId="168" fontId="8" fillId="0" borderId="0" pivotButton="0" quotePrefix="0" xfId="0"/>
    <xf numFmtId="168" fontId="3" fillId="0" borderId="0" applyAlignment="1" pivotButton="0" quotePrefix="0" xfId="0">
      <alignment horizontal="right"/>
    </xf>
    <xf numFmtId="0" fontId="9" fillId="0" borderId="0" pivotButton="0" quotePrefix="0" xfId="0"/>
    <xf numFmtId="0" fontId="4" fillId="0" borderId="0" pivotButton="0" quotePrefix="0" xfId="0"/>
    <xf numFmtId="0" fontId="15" fillId="0" borderId="0" pivotButton="0" quotePrefix="0" xfId="0"/>
    <xf numFmtId="0" fontId="16" fillId="0" borderId="0" pivotButton="0" quotePrefix="0" xfId="0"/>
    <xf numFmtId="0" fontId="1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_rels/drawing2.xml.rels><Relationships xmlns="http://schemas.openxmlformats.org/package/2006/relationships"><Relationship Type="http://schemas.openxmlformats.org/officeDocument/2006/relationships/image" Target="/xl/media/image2.png" Id="rId1" /></Relationships>
</file>

<file path=xl/drawings/_rels/drawing3.xml.rels><Relationships xmlns="http://schemas.openxmlformats.org/package/2006/relationships"><Relationship Type="http://schemas.openxmlformats.org/officeDocument/2006/relationships/image" Target="/xl/media/image3.png" Id="rId1" /></Relationships>
</file>

<file path=xl/drawings/_rels/drawing4.xml.rels><Relationships xmlns="http://schemas.openxmlformats.org/package/2006/relationships"><Relationship Type="http://schemas.openxmlformats.org/officeDocument/2006/relationships/image" Target="/xl/media/image4.png" Id="rId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1</col>
      <colOff>0</colOff>
      <row>1</row>
      <rowOff>0</rowOff>
    </from>
    <ext cx="1628775" cy="304800"/>
    <pic>
      <nvPicPr>
        <cNvPr id="1" name="Image 1" descr="Picture"/>
        <cNvPicPr/>
      </nvPicPr>
      <blipFill>
        <a:blip cstate="print" r:embed="rId1"/>
        <a:stretch>
          <a:fillRect/>
        </a:stretch>
      </blipFill>
      <spPr>
        <a:prstGeom prst="rect"/>
      </spPr>
    </pic>
    <clientData/>
  </oneCellAnchor>
</wsDr>
</file>

<file path=xl/drawings/drawing2.xml><?xml version="1.0" encoding="utf-8"?>
<wsDr xmlns:a="http://schemas.openxmlformats.org/drawingml/2006/main" xmlns:r="http://schemas.openxmlformats.org/officeDocument/2006/relationships" xmlns="http://schemas.openxmlformats.org/drawingml/2006/spreadsheetDrawing">
  <oneCellAnchor>
    <from>
      <col>1</col>
      <colOff>0</colOff>
      <row>1</row>
      <rowOff>0</rowOff>
    </from>
    <ext cx="971550" cy="180975"/>
    <pic>
      <nvPicPr>
        <cNvPr id="1" name="Image 1" descr="Picture"/>
        <cNvPicPr/>
      </nvPicPr>
      <blipFill>
        <a:blip cstate="print" r:embed="rId1"/>
        <a:stretch>
          <a:fillRect/>
        </a:stretch>
      </blipFill>
      <spPr>
        <a:prstGeom prst="rect"/>
      </spPr>
    </pic>
    <clientData/>
  </oneCellAnchor>
</wsDr>
</file>

<file path=xl/drawings/drawing3.xml><?xml version="1.0" encoding="utf-8"?>
<wsDr xmlns:a="http://schemas.openxmlformats.org/drawingml/2006/main" xmlns:r="http://schemas.openxmlformats.org/officeDocument/2006/relationships" xmlns="http://schemas.openxmlformats.org/drawingml/2006/spreadsheetDrawing">
  <oneCellAnchor>
    <from>
      <col>1</col>
      <colOff>0</colOff>
      <row>1</row>
      <rowOff>0</rowOff>
    </from>
    <ext cx="971550" cy="180975"/>
    <pic>
      <nvPicPr>
        <cNvPr id="1" name="Image 1" descr="Picture"/>
        <cNvPicPr/>
      </nvPicPr>
      <blipFill>
        <a:blip cstate="print" r:embed="rId1"/>
        <a:stretch>
          <a:fillRect/>
        </a:stretch>
      </blipFill>
      <spPr>
        <a:prstGeom prst="rect"/>
      </spPr>
    </pic>
    <clientData/>
  </oneCellAnchor>
</wsDr>
</file>

<file path=xl/drawings/drawing4.xml><?xml version="1.0" encoding="utf-8"?>
<wsDr xmlns:a="http://schemas.openxmlformats.org/drawingml/2006/main" xmlns:r="http://schemas.openxmlformats.org/officeDocument/2006/relationships" xmlns="http://schemas.openxmlformats.org/drawingml/2006/spreadsheetDrawing">
  <oneCellAnchor>
    <from>
      <col>1</col>
      <colOff>0</colOff>
      <row>1</row>
      <rowOff>0</rowOff>
    </from>
    <ext cx="971550" cy="180975"/>
    <pic>
      <nvPicPr>
        <cNvPr id="1" name="Image 1" descr="Picture"/>
        <cNvPicPr/>
      </nvPicPr>
      <blipFill>
        <a:blip cstate="print" r:embed="rId1"/>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_rels/sheet3.xml.rels><Relationships xmlns="http://schemas.openxmlformats.org/package/2006/relationships"><Relationship Type="http://schemas.openxmlformats.org/officeDocument/2006/relationships/drawing" Target="/xl/drawings/drawing3.xml" Id="rId1" /></Relationships>
</file>

<file path=xl/worksheets/_rels/sheet4.xml.rels><Relationships xmlns="http://schemas.openxmlformats.org/package/2006/relationships"><Relationship Type="http://schemas.openxmlformats.org/officeDocument/2006/relationships/hyperlink" Target="https://www.sec.gov/Archives/edgar/data/1045810/000104581026000021/0001045810-26-000021-index.htm" TargetMode="External" Id="rId1" /><Relationship Type="http://schemas.openxmlformats.org/officeDocument/2006/relationships/hyperlink" Target="https://www.sec.gov/Archives/edgar/data/2488/000000248826000018/0000002488-26-000018-index.htm" TargetMode="External" Id="rId2" /><Relationship Type="http://schemas.openxmlformats.org/officeDocument/2006/relationships/hyperlink" Target="https://www.sec.gov/Archives/edgar/data/1730168/000173016825000121/0001730168-25-000121-index.htm" TargetMode="External" Id="rId3" /><Relationship Type="http://schemas.openxmlformats.org/officeDocument/2006/relationships/hyperlink" Target="https://www.sec.gov/Archives/edgar/data/1835632/000183563226000011/0001835632-26-000011-index.htm" TargetMode="External" Id="rId4" /><Relationship Type="http://schemas.openxmlformats.org/officeDocument/2006/relationships/hyperlink" Target="https://www.sec.gov/Archives/edgar/data/50863/000005086326000011/0000050863-26-000011-index.htm" TargetMode="External" Id="rId5" /><Relationship Type="http://schemas.openxmlformats.org/officeDocument/2006/relationships/hyperlink" Target="https://www.sec.gov/Archives/edgar/data/1045810/000104581026000021/0001045810-26-000021-index.htm" TargetMode="External" Id="rId6" /><Relationship Type="http://schemas.openxmlformats.org/officeDocument/2006/relationships/hyperlink" Target="https://www.sec.gov/Archives/edgar/data/2488/000000248826000018/0000002488-26-000018-index.htm" TargetMode="External" Id="rId7" /><Relationship Type="http://schemas.openxmlformats.org/officeDocument/2006/relationships/hyperlink" Target="https://www.sec.gov/Archives/edgar/data/1730168/000173016825000121/0001730168-25-000121-index.htm" TargetMode="External" Id="rId8" /><Relationship Type="http://schemas.openxmlformats.org/officeDocument/2006/relationships/hyperlink" Target="https://www.sec.gov/Archives/edgar/data/1835632/000183563226000011/0001835632-26-000011-index.htm" TargetMode="External" Id="rId9" /><Relationship Type="http://schemas.openxmlformats.org/officeDocument/2006/relationships/hyperlink" Target="https://www.sec.gov/Archives/edgar/data/50863/000005086326000011/0000050863-26-000011-index.htm" TargetMode="External" Id="rId10" /><Relationship Type="http://schemas.openxmlformats.org/officeDocument/2006/relationships/hyperlink" Target="https://www.sec.gov/Archives/edgar/data/1045810/000104581026000021/0001045810-26-000021-index.htm" TargetMode="External" Id="rId11" /><Relationship Type="http://schemas.openxmlformats.org/officeDocument/2006/relationships/hyperlink" Target="https://www.sec.gov/Archives/edgar/data/2488/000000248826000018/0000002488-26-000018-index.htm" TargetMode="External" Id="rId12" /><Relationship Type="http://schemas.openxmlformats.org/officeDocument/2006/relationships/hyperlink" Target="https://www.sec.gov/Archives/edgar/data/1730168/000173016825000121/0001730168-25-000121-index.htm" TargetMode="External" Id="rId13" /><Relationship Type="http://schemas.openxmlformats.org/officeDocument/2006/relationships/hyperlink" Target="https://www.sec.gov/Archives/edgar/data/1835632/000183563226000011/0001835632-26-000011-index.htm" TargetMode="External" Id="rId14" /><Relationship Type="http://schemas.openxmlformats.org/officeDocument/2006/relationships/hyperlink" Target="https://www.sec.gov/Archives/edgar/data/50863/000005086326000011/0000050863-26-000011-index.htm" TargetMode="External" Id="rId15" /><Relationship Type="http://schemas.openxmlformats.org/officeDocument/2006/relationships/hyperlink" Target="https://www.sec.gov/Archives/edgar/data/1045810/000104581025000023/0001045810-25-000023-index.htm" TargetMode="External" Id="rId16" /><Relationship Type="http://schemas.openxmlformats.org/officeDocument/2006/relationships/hyperlink" Target="https://www.sec.gov/Archives/edgar/data/2488/000000248826000018/0000002488-26-000018-index.htm" TargetMode="External" Id="rId17" /><Relationship Type="http://schemas.openxmlformats.org/officeDocument/2006/relationships/hyperlink" Target="https://www.sec.gov/Archives/edgar/data/50863/000005086326000011/0000050863-26-000011-index.htm" TargetMode="External" Id="rId18" /><Relationship Type="http://schemas.openxmlformats.org/officeDocument/2006/relationships/hyperlink" Target="https://www.sec.gov/Archives/edgar/data/1045810/000104581026000021/0001045810-26-000021-index.htm" TargetMode="External" Id="rId19" /><Relationship Type="http://schemas.openxmlformats.org/officeDocument/2006/relationships/hyperlink" Target="https://www.sec.gov/Archives/edgar/data/2488/000000248826000018/0000002488-26-000018-index.htm" TargetMode="External" Id="rId20" /><Relationship Type="http://schemas.openxmlformats.org/officeDocument/2006/relationships/hyperlink" Target="https://www.sec.gov/Archives/edgar/data/1730168/000173016825000121/0001730168-25-000121-index.htm" TargetMode="External" Id="rId21" /><Relationship Type="http://schemas.openxmlformats.org/officeDocument/2006/relationships/hyperlink" Target="https://www.sec.gov/Archives/edgar/data/1835632/000183563226000011/0001835632-26-000011-index.htm" TargetMode="External" Id="rId22" /><Relationship Type="http://schemas.openxmlformats.org/officeDocument/2006/relationships/hyperlink" Target="https://www.sec.gov/Archives/edgar/data/50863/000005086326000011/0000050863-26-000011-index.htm" TargetMode="External" Id="rId23" /><Relationship Type="http://schemas.openxmlformats.org/officeDocument/2006/relationships/hyperlink" Target="https://www.sec.gov/Archives/edgar/data/1045810/000104581026000021/0001045810-26-000021-index.htm" TargetMode="External" Id="rId24" /><Relationship Type="http://schemas.openxmlformats.org/officeDocument/2006/relationships/hyperlink" Target="https://www.sec.gov/Archives/edgar/data/2488/000000248826000018/0000002488-26-000018-index.htm" TargetMode="External" Id="rId25" /><Relationship Type="http://schemas.openxmlformats.org/officeDocument/2006/relationships/hyperlink" Target="https://www.sec.gov/Archives/edgar/data/1730168/000173016825000121/0001730168-25-000121-index.htm" TargetMode="External" Id="rId26" /><Relationship Type="http://schemas.openxmlformats.org/officeDocument/2006/relationships/hyperlink" Target="https://www.sec.gov/Archives/edgar/data/1835632/000183563226000011/0001835632-26-000011-index.htm" TargetMode="External" Id="rId27" /><Relationship Type="http://schemas.openxmlformats.org/officeDocument/2006/relationships/hyperlink" Target="https://www.sec.gov/Archives/edgar/data/50863/000005086326000011/0000050863-26-000011-index.htm" TargetMode="External" Id="rId28" /><Relationship Type="http://schemas.openxmlformats.org/officeDocument/2006/relationships/hyperlink" Target="https://www.sec.gov/Archives/edgar/data/1045810/000104581026000021/0001045810-26-000021-index.htm" TargetMode="External" Id="rId29" /><Relationship Type="http://schemas.openxmlformats.org/officeDocument/2006/relationships/hyperlink" Target="https://www.sec.gov/Archives/edgar/data/2488/000000248826000018/0000002488-26-000018-index.htm" TargetMode="External" Id="rId30" /><Relationship Type="http://schemas.openxmlformats.org/officeDocument/2006/relationships/hyperlink" Target="https://www.sec.gov/Archives/edgar/data/1730168/000173016825000121/0001730168-25-000121-index.htm" TargetMode="External" Id="rId31" /><Relationship Type="http://schemas.openxmlformats.org/officeDocument/2006/relationships/hyperlink" Target="https://www.sec.gov/Archives/edgar/data/1835632/000183563226000011/0001835632-26-000011-index.htm" TargetMode="External" Id="rId32" /><Relationship Type="http://schemas.openxmlformats.org/officeDocument/2006/relationships/hyperlink" Target="https://www.sec.gov/Archives/edgar/data/50863/000005086326000011/0000050863-26-000011-index.htm" TargetMode="External" Id="rId33" /><Relationship Type="http://schemas.openxmlformats.org/officeDocument/2006/relationships/hyperlink" Target="https://www.sec.gov/Archives/edgar/data/1045810/000104581026000021/0001045810-26-000021-index.htm" TargetMode="External" Id="rId34" /><Relationship Type="http://schemas.openxmlformats.org/officeDocument/2006/relationships/hyperlink" Target="https://www.sec.gov/Archives/edgar/data/2488/000000248826000018/0000002488-26-000018-index.htm" TargetMode="External" Id="rId35" /><Relationship Type="http://schemas.openxmlformats.org/officeDocument/2006/relationships/hyperlink" Target="https://www.sec.gov/Archives/edgar/data/1730168/000173016825000121/0001730168-25-000121-index.htm" TargetMode="External" Id="rId36" /><Relationship Type="http://schemas.openxmlformats.org/officeDocument/2006/relationships/hyperlink" Target="https://www.sec.gov/Archives/edgar/data/1835632/000183563226000011/0001835632-26-000011-index.htm" TargetMode="External" Id="rId37" /><Relationship Type="http://schemas.openxmlformats.org/officeDocument/2006/relationships/hyperlink" Target="https://www.sec.gov/Archives/edgar/data/50863/000005086326000011/0000050863-26-000011-index.htm" TargetMode="External" Id="rId38" /><Relationship Type="http://schemas.openxmlformats.org/officeDocument/2006/relationships/hyperlink" Target="https://www.sec.gov/Archives/edgar/data/1045810/000104581026000021/0001045810-26-000021-index.htm" TargetMode="External" Id="rId39" /><Relationship Type="http://schemas.openxmlformats.org/officeDocument/2006/relationships/hyperlink" Target="https://www.sec.gov/Archives/edgar/data/2488/000000248826000018/0000002488-26-000018-index.htm" TargetMode="External" Id="rId40" /><Relationship Type="http://schemas.openxmlformats.org/officeDocument/2006/relationships/hyperlink" Target="https://www.sec.gov/Archives/edgar/data/1730168/000173016825000121/0001730168-25-000121-index.htm" TargetMode="External" Id="rId41" /><Relationship Type="http://schemas.openxmlformats.org/officeDocument/2006/relationships/hyperlink" Target="https://www.sec.gov/Archives/edgar/data/1835632/000183563226000011/0001835632-26-000011-index.htm" TargetMode="External" Id="rId42" /><Relationship Type="http://schemas.openxmlformats.org/officeDocument/2006/relationships/hyperlink" Target="https://www.sec.gov/Archives/edgar/data/50863/000005086326000011/0000050863-26-000011-index.htm" TargetMode="External" Id="rId43" /><Relationship Type="http://schemas.openxmlformats.org/officeDocument/2006/relationships/hyperlink" Target="https://www.sec.gov/Archives/edgar/data/1045810/000104581026000021/0001045810-26-000021-index.htm" TargetMode="External" Id="rId44" /><Relationship Type="http://schemas.openxmlformats.org/officeDocument/2006/relationships/hyperlink" Target="https://www.sec.gov/Archives/edgar/data/2488/000000248826000018/0000002488-26-000018-index.htm" TargetMode="External" Id="rId45" /><Relationship Type="http://schemas.openxmlformats.org/officeDocument/2006/relationships/hyperlink" Target="https://www.sec.gov/Archives/edgar/data/1730168/000173016825000121/0001730168-25-000121-index.htm" TargetMode="External" Id="rId46" /><Relationship Type="http://schemas.openxmlformats.org/officeDocument/2006/relationships/hyperlink" Target="https://www.sec.gov/Archives/edgar/data/1835632/000183563226000011/0001835632-26-000011-index.htm" TargetMode="External" Id="rId47" /><Relationship Type="http://schemas.openxmlformats.org/officeDocument/2006/relationships/hyperlink" Target="https://www.sec.gov/Archives/edgar/data/50863/000005086326000011/0000050863-26-000011-index.htm" TargetMode="External" Id="rId48" /><Relationship Type="http://schemas.openxmlformats.org/officeDocument/2006/relationships/drawing" Target="/xl/drawings/drawing4.xml" Id="rId49" /></Relationships>
</file>

<file path=xl/worksheets/sheet1.xml><?xml version="1.0" encoding="utf-8"?>
<worksheet xmlns="http://schemas.openxmlformats.org/spreadsheetml/2006/main">
  <sheetPr>
    <outlinePr summaryBelow="1" summaryRight="1"/>
    <pageSetUpPr fitToPage="1"/>
  </sheetPr>
  <dimension ref="A1:I35"/>
  <sheetViews>
    <sheetView showGridLines="0" workbookViewId="0">
      <selection activeCell="A1" sqref="A1"/>
    </sheetView>
  </sheetViews>
  <sheetFormatPr baseColWidth="8" defaultRowHeight="15"/>
  <cols>
    <col width="3" customWidth="1" min="1" max="1"/>
    <col width="22" customWidth="1" min="2" max="2"/>
    <col width="14" customWidth="1" min="3" max="3"/>
    <col width="14" customWidth="1" min="4" max="4"/>
    <col width="14" customWidth="1" min="5" max="5"/>
    <col width="14" customWidth="1" min="6" max="6"/>
    <col width="14" customWidth="1" min="7" max="7"/>
    <col width="14" customWidth="1" min="8" max="8"/>
  </cols>
  <sheetData>
    <row r="1" ht="10" customHeight="1">
      <c r="A1" s="1" t="n"/>
      <c r="B1" s="1" t="n"/>
      <c r="C1" s="1" t="n"/>
      <c r="D1" s="1" t="n"/>
      <c r="E1" s="1" t="n"/>
      <c r="F1" s="1" t="n"/>
      <c r="G1" s="1" t="n"/>
      <c r="H1" s="1" t="n"/>
    </row>
    <row r="2" ht="46" customHeight="1">
      <c r="A2" s="1" t="n"/>
      <c r="B2" s="1" t="n"/>
      <c r="C2" s="1" t="n"/>
      <c r="D2" s="1" t="n"/>
      <c r="E2" s="1" t="n"/>
      <c r="F2" s="1" t="n"/>
      <c r="G2" s="1" t="n"/>
      <c r="H2" s="1" t="n"/>
    </row>
    <row r="3" ht="10" customHeight="1">
      <c r="A3" s="1" t="n"/>
      <c r="B3" s="1" t="n"/>
      <c r="C3" s="1" t="n"/>
      <c r="D3" s="1" t="n"/>
      <c r="E3" s="1" t="n"/>
      <c r="F3" s="1" t="n"/>
      <c r="G3" s="1" t="n"/>
      <c r="H3" s="1" t="n"/>
    </row>
    <row r="5">
      <c r="B5" s="2" t="inlineStr">
        <is>
          <t>Trading Comparables — NVDA</t>
        </is>
      </c>
    </row>
    <row r="6">
      <c r="B6" s="3" t="inlineStr">
        <is>
          <t>Produced by the L3VLUP Comps Set Builder skill</t>
        </is>
      </c>
    </row>
    <row r="7">
      <c r="B7" s="3" t="inlineStr">
        <is>
          <t>Generated 15 October 2026 at 12:05 UTC</t>
        </is>
      </c>
    </row>
    <row r="9">
      <c r="B9" s="4" t="inlineStr">
        <is>
          <t>What this is</t>
        </is>
      </c>
      <c r="C9" s="5" t="n"/>
      <c r="D9" s="5" t="n"/>
      <c r="E9" s="5" t="n"/>
      <c r="F9" s="5" t="n"/>
      <c r="G9" s="5" t="n"/>
      <c r="H9" s="5" t="n"/>
      <c r="I9" s="5" t="n"/>
    </row>
    <row r="10" ht="52" customHeight="1">
      <c r="B10" s="6" t="inlineStr">
        <is>
          <t>A trading-comparables sheet for NVDA against 4 peers. Fundamentals come from each filer’s own filings; every multiple, median and mean is a live formula, so changing one price moves the whole sheet. The Inclusion tab is the part that matters: fill in why each name belongs, which names you rejected, and every adjustment you made, before showing this to anyone.</t>
        </is>
      </c>
    </row>
    <row r="12">
      <c r="B12" s="4" t="inlineStr">
        <is>
          <t>How to read it</t>
        </is>
      </c>
      <c r="C12" s="5" t="n"/>
      <c r="D12" s="5" t="n"/>
      <c r="E12" s="5" t="n"/>
      <c r="F12" s="5" t="n"/>
      <c r="G12" s="5" t="n"/>
      <c r="H12" s="5" t="n"/>
      <c r="I12" s="5" t="n"/>
    </row>
    <row r="13" ht="14" customHeight="1">
      <c r="B13" s="6" t="inlineStr">
        <is>
          <t>BLUE  —  a hard input, or a value pulled straight from a filing. Something a human can change.</t>
        </is>
      </c>
    </row>
    <row r="14" ht="14" customHeight="1">
      <c r="B14" s="6" t="inlineStr">
        <is>
          <t>BLACK  —  a formula computed inside this workbook. Do not overtype it.</t>
        </is>
      </c>
    </row>
    <row r="15" ht="14" customHeight="1">
      <c r="B15" s="6" t="inlineStr">
        <is>
          <t>GREEN  —  a link to another sheet in this workbook.</t>
        </is>
      </c>
    </row>
    <row r="16" ht="14" customHeight="1">
      <c r="B16" s="6" t="inlineStr">
        <is>
          <t>RED FILL  —  a tie-out that failed. Investigate before using the workbook.</t>
        </is>
      </c>
    </row>
    <row r="17" ht="14" customHeight="1">
      <c r="B17" s="6" t="inlineStr">
        <is>
          <t>AN EM DASH  —  the filer did not tag that line. It does not mean zero.</t>
        </is>
      </c>
    </row>
    <row r="18" ht="14" customHeight="1">
      <c r="B18" s="6" t="inlineStr">
        <is>
          <t>Every [n] marker beside a row resolves on the Sources tab to a tag, a period, a form and an accession number.</t>
        </is>
      </c>
    </row>
    <row r="20">
      <c r="B20" s="4" t="inlineStr">
        <is>
          <t>Where the numbers come from</t>
        </is>
      </c>
      <c r="C20" s="5" t="n"/>
      <c r="D20" s="5" t="n"/>
      <c r="E20" s="5" t="n"/>
      <c r="F20" s="5" t="n"/>
      <c r="G20" s="5" t="n"/>
      <c r="H20" s="5" t="n"/>
      <c r="I20" s="5" t="n"/>
    </row>
    <row r="21" ht="65" customHeight="1">
      <c r="B21" s="6" t="inlineStr">
        <is>
          <t>Revenue, EBITDA inputs, debt, cash and share counts come from each company’s SEC filings. Share price and forward consensus are NOT filing data: they are shaded input cells for you to fill from your own licensed feed. The workbook will not guess a price and then print a multiple off it. EBITDA is built in the sheet from operating income plus D&amp;A, because EBITDA is not a GAAP tag and any figure claiming to be one is somebody’s adjustment.</t>
        </is>
      </c>
    </row>
    <row r="23">
      <c r="B23" s="7" t="inlineStr">
        <is>
          <t>Important notices</t>
        </is>
      </c>
      <c r="C23" s="5" t="n"/>
      <c r="D23" s="5" t="n"/>
      <c r="E23" s="5" t="n"/>
      <c r="F23" s="5" t="n"/>
      <c r="G23" s="5" t="n"/>
      <c r="H23" s="5" t="n"/>
      <c r="I23" s="5" t="n"/>
    </row>
    <row r="24" ht="39" customHeight="1">
      <c r="B24" s="8" t="inlineStr">
        <is>
          <t>EDUCATIONAL USE ONLY. This workbook is produced by L3VLUP as a training and learning aid. It is not investment research, not a recommendation, and not an offer or solicitation to buy or sell any security or financial instrument.</t>
        </is>
      </c>
    </row>
    <row r="25" ht="39" customHeight="1">
      <c r="B25" s="8" t="inlineStr">
        <is>
          <t>NOT INVESTMENT, LEGAL, TAX OR ACCOUNTING ADVICE. Nothing in this file constitutes advice of any kind and it takes no account of the objectives, financial situation or needs of any person. Obtain advice from a suitably qualified and regulated professional before acting on anything here.</t>
        </is>
      </c>
    </row>
    <row r="26" ht="52" customHeight="1">
      <c r="B26" s="8" t="inlineStr">
        <is>
          <t>NO RELIANCE. The figures are assembled automatically from third-party filings and may be incomplete, mis-tagged at source, superseded by a later restatement, or wrong. Independently verify every figure against the underlying filing — which is why each one is linked — before relying on it for any purpose. Past performance is not a guide to future performance.</t>
        </is>
      </c>
    </row>
    <row r="27" ht="26" customHeight="1">
      <c r="B27" s="8" t="inlineStr">
        <is>
          <t>NO WARRANTY. This workbook is provided “as is” and “as available”, without warranty of any kind, express or implied, including any warranty of accuracy, completeness, merchantability or fitness for a particular purpose.</t>
        </is>
      </c>
    </row>
    <row r="28" ht="65" customHeight="1">
      <c r="B28" s="8" t="inlineStr">
        <is>
          <t>LIMITATION OF LIABILITY. To the fullest extent permitted by law, L3VLUP and its officers, employees and contributors accept no liability for any loss or damage — including any direct, indirect, incidental, consequential or economic loss, loss of profit, or loss of data — arising out of or in connection with the use of, or reliance on, this workbook or anything in it. Nothing in this notice limits or excludes any liability that cannot lawfully be limited or excluded.</t>
        </is>
      </c>
    </row>
    <row r="29" ht="52" customHeight="1">
      <c r="B29" s="8" t="inlineStr">
        <is>
          <t>THIRD-PARTY DATA. Filing data originates from the U.S. Securities and Exchange Commission’s EDGAR system and is in the public domain. The SEC does not endorse, sponsor or verify this workbook. Any figures you enter yourself remain governed by the terms of whichever data provider supplied them, and it is your responsibility to hold the necessary licence for them.</t>
        </is>
      </c>
    </row>
    <row r="31">
      <c r="B31" s="4" t="inlineStr">
        <is>
          <t>Copyright</t>
        </is>
      </c>
      <c r="C31" s="5" t="n"/>
      <c r="D31" s="5" t="n"/>
      <c r="E31" s="5" t="n"/>
      <c r="F31" s="5" t="n"/>
      <c r="G31" s="5" t="n"/>
      <c r="H31" s="5" t="n"/>
      <c r="I31" s="5" t="n"/>
    </row>
    <row r="32" ht="14" customHeight="1">
      <c r="B32" s="6" t="inlineStr">
        <is>
          <t>© 2026 L3VLUP. All rights reserved.</t>
        </is>
      </c>
    </row>
    <row r="33" ht="52" customHeight="1">
      <c r="B33" s="6" t="inlineStr">
        <is>
          <t>The structure, layout, formulas, wording and conventions of this workbook are the property of L3VLUP. It is licensed to the named recipient for their own personal study and professional work. You may not resell it, redistribute it, publish it, or use it to build or train a competing product or dataset, in whole or in part, without prior written permission.</t>
        </is>
      </c>
    </row>
    <row r="34" ht="14" customHeight="1">
      <c r="B34" s="6" t="inlineStr">
        <is>
          <t>Underlying filing data is public domain and is not claimed as L3VLUP property.</t>
        </is>
      </c>
    </row>
    <row r="35" ht="14" customHeight="1">
      <c r="B35" s="6" t="inlineStr">
        <is>
          <t>l3vlup.com  ·  l3vlup.com/skills/comps-set-builder</t>
        </is>
      </c>
    </row>
  </sheetData>
  <mergeCells count="18">
    <mergeCell ref="B14:H14"/>
    <mergeCell ref="B32:H32"/>
    <mergeCell ref="B17:H17"/>
    <mergeCell ref="B18:H18"/>
    <mergeCell ref="B13:H13"/>
    <mergeCell ref="B26:H26"/>
    <mergeCell ref="B27:H27"/>
    <mergeCell ref="B21:H21"/>
    <mergeCell ref="B35:H35"/>
    <mergeCell ref="B24:H24"/>
    <mergeCell ref="B16:H16"/>
    <mergeCell ref="B15:H15"/>
    <mergeCell ref="B10:H10"/>
    <mergeCell ref="B25:H25"/>
    <mergeCell ref="B29:H29"/>
    <mergeCell ref="B33:H33"/>
    <mergeCell ref="B34:H34"/>
    <mergeCell ref="B28:H28"/>
  </mergeCells>
  <pageMargins left="0.75" right="0.75" top="1" bottom="1" header="0.5" footer="0.5"/>
  <pageSetup orientation="portrait" fitToHeight="0" fitToWidth="1"/>
  <drawing xmlns:r="http://schemas.openxmlformats.org/officeDocument/2006/relationships" r:id="rId1"/>
</worksheet>
</file>

<file path=xl/worksheets/sheet2.xml><?xml version="1.0" encoding="utf-8"?>
<worksheet xmlns="http://schemas.openxmlformats.org/spreadsheetml/2006/main">
  <sheetPr>
    <outlinePr summaryBelow="1" summaryRight="1"/>
    <pageSetUpPr fitToPage="1"/>
  </sheetPr>
  <dimension ref="A1:J63"/>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3" customWidth="1" min="1" max="1"/>
    <col width="38" customWidth="1" min="2" max="2"/>
    <col width="1.7" customWidth="1" min="3" max="3"/>
    <col width="13" customWidth="1" min="4" max="4"/>
    <col width="13" customWidth="1" min="5" max="5"/>
    <col width="13" customWidth="1" min="6" max="6"/>
    <col width="13" customWidth="1" min="7" max="7"/>
    <col width="13" customWidth="1" min="8" max="8"/>
    <col width="1.7" customWidth="1" min="9" max="9"/>
    <col width="10" customWidth="1" min="10" max="10"/>
  </cols>
  <sheetData>
    <row r="1" ht="6" customHeight="1">
      <c r="A1" s="1" t="n"/>
      <c r="B1" s="1" t="n"/>
      <c r="C1" s="1" t="n"/>
      <c r="D1" s="1" t="n"/>
      <c r="E1" s="1" t="n"/>
      <c r="F1" s="1" t="n"/>
      <c r="G1" s="1" t="n"/>
      <c r="H1" s="1" t="n"/>
      <c r="I1" s="1" t="n"/>
      <c r="J1" s="1" t="n"/>
    </row>
    <row r="2" ht="26" customHeight="1">
      <c r="A2" s="1" t="n"/>
      <c r="B2" s="1" t="n"/>
      <c r="C2" s="1" t="n"/>
      <c r="D2" s="1" t="n"/>
      <c r="E2" s="1" t="n"/>
      <c r="F2" s="1" t="n"/>
      <c r="G2" s="1" t="n"/>
      <c r="H2" s="1" t="n"/>
      <c r="I2" s="1" t="n"/>
      <c r="J2" s="1" t="n"/>
    </row>
    <row r="3" ht="6" customHeight="1">
      <c r="A3" s="1" t="n"/>
      <c r="B3" s="1" t="n"/>
      <c r="C3" s="1" t="n"/>
      <c r="D3" s="1" t="n"/>
      <c r="E3" s="1" t="n"/>
      <c r="F3" s="1" t="n"/>
      <c r="G3" s="1" t="n"/>
      <c r="H3" s="1" t="n"/>
      <c r="I3" s="1" t="n"/>
      <c r="J3" s="1" t="n"/>
    </row>
    <row r="4">
      <c r="B4" s="9" t="inlineStr">
        <is>
          <t>NVDA comparable companies</t>
        </is>
      </c>
    </row>
    <row r="5">
      <c r="B5" s="10" t="inlineStr">
        <is>
          <t>Trading comparables</t>
        </is>
      </c>
    </row>
    <row r="6">
      <c r="B6" s="11" t="inlineStr">
        <is>
          <t>Fundamentals from SEC filings · price and forward consensus are your inputs, shaded</t>
        </is>
      </c>
    </row>
    <row r="7">
      <c r="B7" s="11" t="inlineStr">
        <is>
          <t>($ in millions, except per share)</t>
        </is>
      </c>
      <c r="D7" s="12" t="inlineStr">
        <is>
          <t>Comparable companies</t>
        </is>
      </c>
    </row>
    <row r="8">
      <c r="D8" s="13" t="inlineStr">
        <is>
          <t>NVDA</t>
        </is>
      </c>
      <c r="E8" s="13" t="inlineStr">
        <is>
          <t>AMD</t>
        </is>
      </c>
      <c r="F8" s="13" t="inlineStr">
        <is>
          <t>AVGO</t>
        </is>
      </c>
      <c r="G8" s="13" t="inlineStr">
        <is>
          <t>MRVL</t>
        </is>
      </c>
      <c r="H8" s="13" t="inlineStr">
        <is>
          <t>INTC</t>
        </is>
      </c>
      <c r="J8" s="14" t="inlineStr">
        <is>
          <t>Src</t>
        </is>
      </c>
    </row>
    <row r="9">
      <c r="B9" s="4" t="inlineStr">
        <is>
          <t>Market</t>
        </is>
      </c>
      <c r="D9" s="5" t="n"/>
      <c r="E9" s="5" t="n"/>
      <c r="F9" s="5" t="n"/>
      <c r="G9" s="5" t="n"/>
      <c r="H9" s="5" t="n"/>
    </row>
    <row r="10">
      <c r="B10" s="15" t="inlineStr">
        <is>
          <t>Share price (input)</t>
        </is>
      </c>
      <c r="D10" s="16" t="inlineStr">
        <is>
          <t>—</t>
        </is>
      </c>
      <c r="E10" s="16" t="inlineStr">
        <is>
          <t>—</t>
        </is>
      </c>
      <c r="F10" s="16" t="inlineStr">
        <is>
          <t>—</t>
        </is>
      </c>
      <c r="G10" s="16" t="inlineStr">
        <is>
          <t>—</t>
        </is>
      </c>
      <c r="H10" s="16" t="inlineStr">
        <is>
          <t>—</t>
        </is>
      </c>
    </row>
    <row r="11">
      <c r="B11" s="15" t="inlineStr">
        <is>
          <t>Diluted shares outstanding</t>
        </is>
      </c>
      <c r="D11" s="17" t="n">
        <v>24514000000</v>
      </c>
      <c r="E11" s="17" t="n">
        <v>1636000000</v>
      </c>
      <c r="F11" s="17" t="n">
        <v>4853000000</v>
      </c>
      <c r="G11" s="17" t="n">
        <v>869700000</v>
      </c>
      <c r="H11" s="17" t="n">
        <v>4530000000</v>
      </c>
      <c r="J11" s="18" t="inlineStr">
        <is>
          <t>[1][2][3][4][5]</t>
        </is>
      </c>
    </row>
    <row r="12">
      <c r="B12" s="19" t="inlineStr">
        <is>
          <t>Market capitalisation</t>
        </is>
      </c>
      <c r="D12" s="20">
        <f>IFERROR(D10*D11,"")</f>
        <v/>
      </c>
      <c r="E12" s="20">
        <f>IFERROR(E10*E11,"")</f>
        <v/>
      </c>
      <c r="F12" s="20">
        <f>IFERROR(F10*F11,"")</f>
        <v/>
      </c>
      <c r="G12" s="20">
        <f>IFERROR(G10*G11,"")</f>
        <v/>
      </c>
      <c r="H12" s="20">
        <f>IFERROR(H10*H11,"")</f>
        <v/>
      </c>
    </row>
    <row r="14">
      <c r="B14" s="4" t="inlineStr">
        <is>
          <t>Capital structure (as filed)</t>
        </is>
      </c>
      <c r="D14" s="5" t="n"/>
      <c r="E14" s="5" t="n"/>
      <c r="F14" s="5" t="n"/>
      <c r="G14" s="5" t="n"/>
      <c r="H14" s="5" t="n"/>
    </row>
    <row r="15">
      <c r="B15" s="15" t="inlineStr">
        <is>
          <t>Total debt</t>
        </is>
      </c>
      <c r="D15" s="21" t="n">
        <v>9467000000</v>
      </c>
      <c r="E15" s="21" t="n">
        <v>4124000000</v>
      </c>
      <c r="F15" s="21" t="n">
        <v>70272000000</v>
      </c>
      <c r="G15" s="21" t="n">
        <v>4470600000</v>
      </c>
      <c r="H15" s="21" t="n">
        <v>46585000000</v>
      </c>
      <c r="J15" s="18" t="inlineStr">
        <is>
          <t>[6][7][8][9][10]</t>
        </is>
      </c>
    </row>
    <row r="16">
      <c r="B16" s="15" t="inlineStr">
        <is>
          <t>Cash and equivalents</t>
        </is>
      </c>
      <c r="D16" s="21" t="n">
        <v>10605000000</v>
      </c>
      <c r="E16" s="21" t="n">
        <v>5539000000</v>
      </c>
      <c r="F16" s="21" t="n">
        <v>16178000000</v>
      </c>
      <c r="G16" s="21" t="n">
        <v>2638800000</v>
      </c>
      <c r="H16" s="21" t="n">
        <v>14265000000</v>
      </c>
      <c r="J16" s="18" t="inlineStr">
        <is>
          <t>[11][12][13][14][15]</t>
        </is>
      </c>
    </row>
    <row r="17">
      <c r="B17" s="15" t="inlineStr">
        <is>
          <t>Short-term investments</t>
        </is>
      </c>
      <c r="D17" s="21" t="n">
        <v>34621000000</v>
      </c>
      <c r="E17" s="21" t="n">
        <v>5013000000</v>
      </c>
      <c r="F17" s="22" t="inlineStr">
        <is>
          <t>—</t>
        </is>
      </c>
      <c r="G17" s="22" t="inlineStr">
        <is>
          <t>—</t>
        </is>
      </c>
      <c r="H17" s="21" t="n">
        <v>23151000000</v>
      </c>
      <c r="J17" s="18" t="inlineStr">
        <is>
          <t>[16][17][18]</t>
        </is>
      </c>
    </row>
    <row r="18">
      <c r="B18" s="19" t="inlineStr">
        <is>
          <t>Net debt / (net cash)</t>
        </is>
      </c>
      <c r="D18" s="20">
        <f>IFERROR(D15-D16-D17,"")</f>
        <v/>
      </c>
      <c r="E18" s="20">
        <f>IFERROR(E15-E16-E17,"")</f>
        <v/>
      </c>
      <c r="F18" s="20">
        <f>IFERROR(F15-F16-F17,"")</f>
        <v/>
      </c>
      <c r="G18" s="20">
        <f>IFERROR(G15-G16-G17,"")</f>
        <v/>
      </c>
      <c r="H18" s="20">
        <f>IFERROR(H15-H16-H17,"")</f>
        <v/>
      </c>
    </row>
    <row r="19">
      <c r="B19" s="19" t="inlineStr">
        <is>
          <t>Enterprise value</t>
        </is>
      </c>
      <c r="D19" s="20">
        <f>IFERROR(D12+D18,"")</f>
        <v/>
      </c>
      <c r="E19" s="20">
        <f>IFERROR(E12+E18,"")</f>
        <v/>
      </c>
      <c r="F19" s="20">
        <f>IFERROR(F12+F18,"")</f>
        <v/>
      </c>
      <c r="G19" s="20">
        <f>IFERROR(G12+G18,"")</f>
        <v/>
      </c>
      <c r="H19" s="20">
        <f>IFERROR(H12+H18,"")</f>
        <v/>
      </c>
    </row>
    <row r="21">
      <c r="B21" s="4" t="inlineStr">
        <is>
          <t>Operating (latest fiscal year as filed)</t>
        </is>
      </c>
      <c r="D21" s="5" t="n"/>
      <c r="E21" s="5" t="n"/>
      <c r="F21" s="5" t="n"/>
      <c r="G21" s="5" t="n"/>
      <c r="H21" s="5" t="n"/>
    </row>
    <row r="22">
      <c r="B22" s="3" t="inlineStr">
        <is>
          <t>Fiscal year end</t>
        </is>
      </c>
      <c r="D22" s="23" t="inlineStr">
        <is>
          <t>Jan</t>
        </is>
      </c>
      <c r="E22" s="23" t="inlineStr">
        <is>
          <t>Dec</t>
        </is>
      </c>
      <c r="F22" s="23" t="inlineStr">
        <is>
          <t>Nov</t>
        </is>
      </c>
      <c r="G22" s="23" t="inlineStr">
        <is>
          <t>Jan</t>
        </is>
      </c>
      <c r="H22" s="23" t="inlineStr">
        <is>
          <t>Dec</t>
        </is>
      </c>
    </row>
    <row r="23">
      <c r="B23" s="3" t="inlineStr">
        <is>
          <t>Period covered</t>
        </is>
      </c>
      <c r="D23" s="23" t="inlineStr">
        <is>
          <t>FY2026</t>
        </is>
      </c>
      <c r="E23" s="23" t="inlineStr">
        <is>
          <t>FY2025</t>
        </is>
      </c>
      <c r="F23" s="23" t="inlineStr">
        <is>
          <t>FY2025</t>
        </is>
      </c>
      <c r="G23" s="23" t="inlineStr">
        <is>
          <t>FY2026</t>
        </is>
      </c>
      <c r="H23" s="23" t="inlineStr">
        <is>
          <t>FY2025</t>
        </is>
      </c>
    </row>
    <row r="24">
      <c r="B24" s="15" t="inlineStr">
        <is>
          <t>Revenue</t>
        </is>
      </c>
      <c r="D24" s="21" t="n">
        <v>215938000000</v>
      </c>
      <c r="E24" s="21" t="n">
        <v>34639000000</v>
      </c>
      <c r="F24" s="21" t="n">
        <v>63887000000</v>
      </c>
      <c r="G24" s="21" t="n">
        <v>8194600000</v>
      </c>
      <c r="H24" s="21" t="n">
        <v>52853000000</v>
      </c>
      <c r="J24" s="18" t="inlineStr">
        <is>
          <t>[19][20][21][22][23]</t>
        </is>
      </c>
    </row>
    <row r="25">
      <c r="B25" s="15" t="inlineStr">
        <is>
          <t>Gross profit</t>
        </is>
      </c>
      <c r="D25" s="21" t="n">
        <v>153463000000</v>
      </c>
      <c r="E25" s="21" t="n">
        <v>17152000000</v>
      </c>
      <c r="F25" s="21" t="n">
        <v>43294000000</v>
      </c>
      <c r="G25" s="21" t="n">
        <v>4180700000</v>
      </c>
      <c r="H25" s="21" t="n">
        <v>18375000000</v>
      </c>
      <c r="J25" s="18" t="inlineStr">
        <is>
          <t>[24][25][26][27][28]</t>
        </is>
      </c>
    </row>
    <row r="26">
      <c r="B26" s="3" t="inlineStr">
        <is>
          <t xml:space="preserve">    % gross margin</t>
        </is>
      </c>
      <c r="D26" s="24">
        <f>IFERROR(D25/D24,"")</f>
        <v/>
      </c>
      <c r="E26" s="24">
        <f>IFERROR(E25/E24,"")</f>
        <v/>
      </c>
      <c r="F26" s="24">
        <f>IFERROR(F25/F24,"")</f>
        <v/>
      </c>
      <c r="G26" s="24">
        <f>IFERROR(G25/G24,"")</f>
        <v/>
      </c>
      <c r="H26" s="24">
        <f>IFERROR(H25/H24,"")</f>
        <v/>
      </c>
    </row>
    <row r="27">
      <c r="B27" s="15" t="inlineStr">
        <is>
          <t>Operating income</t>
        </is>
      </c>
      <c r="D27" s="21" t="n">
        <v>130387000000</v>
      </c>
      <c r="E27" s="21" t="n">
        <v>3694000000</v>
      </c>
      <c r="F27" s="21" t="n">
        <v>25484000000</v>
      </c>
      <c r="G27" s="21" t="n">
        <v>1322900000</v>
      </c>
      <c r="H27" s="21" t="n">
        <v>-2214000000</v>
      </c>
      <c r="J27" s="18" t="inlineStr">
        <is>
          <t>[29][30][31][32][33]</t>
        </is>
      </c>
    </row>
    <row r="28">
      <c r="B28" s="15" t="inlineStr">
        <is>
          <t>Depreciation and amortisation</t>
        </is>
      </c>
      <c r="D28" s="21" t="n">
        <v>2400000000</v>
      </c>
      <c r="E28" s="21" t="n">
        <v>521000000</v>
      </c>
      <c r="F28" s="21" t="n">
        <v>574000000</v>
      </c>
      <c r="G28" s="21" t="n">
        <v>221700000</v>
      </c>
      <c r="H28" s="21" t="n">
        <v>10757000000</v>
      </c>
      <c r="J28" s="18" t="inlineStr">
        <is>
          <t>[34][35][36][37][38]</t>
        </is>
      </c>
    </row>
    <row r="29">
      <c r="B29" s="19" t="inlineStr">
        <is>
          <t>EBITDA</t>
        </is>
      </c>
      <c r="D29" s="20">
        <f>IFERROR(D27+D28,"")</f>
        <v/>
      </c>
      <c r="E29" s="20">
        <f>IFERROR(E27+E28,"")</f>
        <v/>
      </c>
      <c r="F29" s="20">
        <f>IFERROR(F27+F28,"")</f>
        <v/>
      </c>
      <c r="G29" s="20">
        <f>IFERROR(G27+G28,"")</f>
        <v/>
      </c>
      <c r="H29" s="20">
        <f>IFERROR(H27+H28,"")</f>
        <v/>
      </c>
    </row>
    <row r="30">
      <c r="B30" s="3" t="inlineStr">
        <is>
          <t xml:space="preserve">    % EBITDA margin</t>
        </is>
      </c>
      <c r="D30" s="24">
        <f>IFERROR(D29/D24,"")</f>
        <v/>
      </c>
      <c r="E30" s="24">
        <f>IFERROR(E29/E24,"")</f>
        <v/>
      </c>
      <c r="F30" s="24">
        <f>IFERROR(F29/F24,"")</f>
        <v/>
      </c>
      <c r="G30" s="24">
        <f>IFERROR(G29/G24,"")</f>
        <v/>
      </c>
      <c r="H30" s="24">
        <f>IFERROR(H29/H24,"")</f>
        <v/>
      </c>
    </row>
    <row r="31">
      <c r="B31" s="15" t="inlineStr">
        <is>
          <t>Net income</t>
        </is>
      </c>
      <c r="D31" s="21" t="n">
        <v>120067000000</v>
      </c>
      <c r="E31" s="21" t="n">
        <v>4335000000</v>
      </c>
      <c r="F31" s="21" t="n">
        <v>23126000000</v>
      </c>
      <c r="G31" s="21" t="n">
        <v>2670100000</v>
      </c>
      <c r="H31" s="21" t="n">
        <v>-267000000</v>
      </c>
      <c r="J31" s="18" t="inlineStr">
        <is>
          <t>[39][40][41][42][43]</t>
        </is>
      </c>
    </row>
    <row r="32">
      <c r="B32" s="15" t="inlineStr">
        <is>
          <t>Diluted EPS</t>
        </is>
      </c>
      <c r="D32" s="25" t="n">
        <v>4.9</v>
      </c>
      <c r="E32" s="25" t="n">
        <v>2.65</v>
      </c>
      <c r="F32" s="25" t="n">
        <v>4.77</v>
      </c>
      <c r="G32" s="25" t="n">
        <v>3.07</v>
      </c>
      <c r="H32" s="25" t="n">
        <v>-0.06</v>
      </c>
      <c r="J32" s="18" t="inlineStr">
        <is>
          <t>[44][45][46][47][48]</t>
        </is>
      </c>
    </row>
    <row r="34">
      <c r="B34" s="4" t="inlineStr">
        <is>
          <t>Trailing multiples</t>
        </is>
      </c>
      <c r="D34" s="5" t="n"/>
      <c r="E34" s="5" t="n"/>
      <c r="F34" s="5" t="n"/>
      <c r="G34" s="5" t="n"/>
      <c r="H34" s="5" t="n"/>
    </row>
    <row r="35">
      <c r="B35" s="15" t="inlineStr">
        <is>
          <t>EV / Revenue</t>
        </is>
      </c>
      <c r="D35" s="26">
        <f>IFERROR(D19/D24,"")</f>
        <v/>
      </c>
      <c r="E35" s="26">
        <f>IFERROR(E19/E24,"")</f>
        <v/>
      </c>
      <c r="F35" s="26">
        <f>IFERROR(F19/F24,"")</f>
        <v/>
      </c>
      <c r="G35" s="26">
        <f>IFERROR(G19/G24,"")</f>
        <v/>
      </c>
      <c r="H35" s="26">
        <f>IFERROR(H19/H24,"")</f>
        <v/>
      </c>
    </row>
    <row r="36">
      <c r="B36" s="15" t="inlineStr">
        <is>
          <t>EV / EBITDA</t>
        </is>
      </c>
      <c r="D36" s="26">
        <f>IFERROR(D19/D29,"")</f>
        <v/>
      </c>
      <c r="E36" s="26">
        <f>IFERROR(E19/E29,"")</f>
        <v/>
      </c>
      <c r="F36" s="26">
        <f>IFERROR(F19/F29,"")</f>
        <v/>
      </c>
      <c r="G36" s="26">
        <f>IFERROR(G19/G29,"")</f>
        <v/>
      </c>
      <c r="H36" s="26">
        <f>IFERROR(H19/H29,"")</f>
        <v/>
      </c>
    </row>
    <row r="37">
      <c r="B37" s="15" t="inlineStr">
        <is>
          <t>P / E</t>
        </is>
      </c>
      <c r="D37" s="26">
        <f>IFERROR(D10/D32,"")</f>
        <v/>
      </c>
      <c r="E37" s="26">
        <f>IFERROR(E10/E32,"")</f>
        <v/>
      </c>
      <c r="F37" s="26">
        <f>IFERROR(F10/F32,"")</f>
        <v/>
      </c>
      <c r="G37" s="26">
        <f>IFERROR(G10/G32,"")</f>
        <v/>
      </c>
      <c r="H37" s="26">
        <f>IFERROR(H10/H32,"")</f>
        <v/>
      </c>
    </row>
    <row r="39">
      <c r="B39" s="4" t="inlineStr">
        <is>
          <t>Forward consensus (your input — not from filings)</t>
        </is>
      </c>
      <c r="D39" s="5" t="n"/>
      <c r="E39" s="5" t="n"/>
      <c r="F39" s="5" t="n"/>
      <c r="G39" s="5" t="n"/>
      <c r="H39" s="5" t="n"/>
    </row>
    <row r="40">
      <c r="B40" s="15" t="inlineStr">
        <is>
          <t>NTM revenue (input)</t>
        </is>
      </c>
      <c r="D40" s="27" t="inlineStr">
        <is>
          <t>—</t>
        </is>
      </c>
      <c r="E40" s="27" t="inlineStr">
        <is>
          <t>—</t>
        </is>
      </c>
      <c r="F40" s="27" t="inlineStr">
        <is>
          <t>—</t>
        </is>
      </c>
      <c r="G40" s="27" t="inlineStr">
        <is>
          <t>—</t>
        </is>
      </c>
      <c r="H40" s="27" t="inlineStr">
        <is>
          <t>—</t>
        </is>
      </c>
    </row>
    <row r="41">
      <c r="B41" s="15" t="inlineStr">
        <is>
          <t>NTM EBITDA (input)</t>
        </is>
      </c>
      <c r="D41" s="27" t="inlineStr">
        <is>
          <t>—</t>
        </is>
      </c>
      <c r="E41" s="27" t="inlineStr">
        <is>
          <t>—</t>
        </is>
      </c>
      <c r="F41" s="27" t="inlineStr">
        <is>
          <t>—</t>
        </is>
      </c>
      <c r="G41" s="27" t="inlineStr">
        <is>
          <t>—</t>
        </is>
      </c>
      <c r="H41" s="27" t="inlineStr">
        <is>
          <t>—</t>
        </is>
      </c>
    </row>
    <row r="42">
      <c r="B42" s="15" t="inlineStr">
        <is>
          <t>NTM EPS (input)</t>
        </is>
      </c>
      <c r="D42" s="16" t="inlineStr">
        <is>
          <t>—</t>
        </is>
      </c>
      <c r="E42" s="16" t="inlineStr">
        <is>
          <t>—</t>
        </is>
      </c>
      <c r="F42" s="16" t="inlineStr">
        <is>
          <t>—</t>
        </is>
      </c>
      <c r="G42" s="16" t="inlineStr">
        <is>
          <t>—</t>
        </is>
      </c>
      <c r="H42" s="16" t="inlineStr">
        <is>
          <t>—</t>
        </is>
      </c>
    </row>
    <row r="43">
      <c r="B43" s="15" t="inlineStr">
        <is>
          <t>EV / NTM revenue</t>
        </is>
      </c>
      <c r="D43" s="26">
        <f>IFERROR(D19/D40,"")</f>
        <v/>
      </c>
      <c r="E43" s="26">
        <f>IFERROR(E19/E40,"")</f>
        <v/>
      </c>
      <c r="F43" s="26">
        <f>IFERROR(F19/F40,"")</f>
        <v/>
      </c>
      <c r="G43" s="26">
        <f>IFERROR(G19/G40,"")</f>
        <v/>
      </c>
      <c r="H43" s="26">
        <f>IFERROR(H19/H40,"")</f>
        <v/>
      </c>
    </row>
    <row r="44">
      <c r="B44" s="15" t="inlineStr">
        <is>
          <t>EV / NTM EBITDA</t>
        </is>
      </c>
      <c r="D44" s="26">
        <f>IFERROR(D19/D41,"")</f>
        <v/>
      </c>
      <c r="E44" s="26">
        <f>IFERROR(E19/E41,"")</f>
        <v/>
      </c>
      <c r="F44" s="26">
        <f>IFERROR(F19/F41,"")</f>
        <v/>
      </c>
      <c r="G44" s="26">
        <f>IFERROR(G19/G41,"")</f>
        <v/>
      </c>
      <c r="H44" s="26">
        <f>IFERROR(H19/H41,"")</f>
        <v/>
      </c>
    </row>
    <row r="45">
      <c r="B45" s="15" t="inlineStr">
        <is>
          <t>Forward P / E</t>
        </is>
      </c>
      <c r="D45" s="26">
        <f>IFERROR(D10/D42,"")</f>
        <v/>
      </c>
      <c r="E45" s="26">
        <f>IFERROR(E10/E42,"")</f>
        <v/>
      </c>
      <c r="F45" s="26">
        <f>IFERROR(F10/F42,"")</f>
        <v/>
      </c>
      <c r="G45" s="26">
        <f>IFERROR(G10/G42,"")</f>
        <v/>
      </c>
      <c r="H45" s="26">
        <f>IFERROR(H10/H42,"")</f>
        <v/>
      </c>
    </row>
    <row r="47">
      <c r="B47" s="4" t="inlineStr">
        <is>
          <t>Set statistics</t>
        </is>
      </c>
      <c r="D47" s="5" t="n"/>
      <c r="E47" s="5" t="n"/>
      <c r="F47" s="5" t="n"/>
      <c r="G47" s="5" t="n"/>
      <c r="H47" s="5" t="n"/>
    </row>
    <row r="48">
      <c r="B48" s="3" t="inlineStr">
        <is>
          <t>Trailing EV / Revenue — median</t>
        </is>
      </c>
      <c r="D48" s="28">
        <f>IFERROR(MEDIAN(D35:H35),"")</f>
        <v/>
      </c>
      <c r="E48" s="29" t="inlineStr">
        <is>
          <t>—</t>
        </is>
      </c>
      <c r="F48" s="29" t="inlineStr">
        <is>
          <t>—</t>
        </is>
      </c>
      <c r="G48" s="29" t="inlineStr">
        <is>
          <t>—</t>
        </is>
      </c>
      <c r="H48" s="29" t="inlineStr">
        <is>
          <t>—</t>
        </is>
      </c>
    </row>
    <row r="49">
      <c r="B49" s="3" t="inlineStr">
        <is>
          <t>Trailing EV / Revenue — mean</t>
        </is>
      </c>
      <c r="D49" s="28">
        <f>IFERROR(AVERAGE(D35:H35),"")</f>
        <v/>
      </c>
      <c r="E49" s="29" t="inlineStr">
        <is>
          <t>—</t>
        </is>
      </c>
      <c r="F49" s="29" t="inlineStr">
        <is>
          <t>—</t>
        </is>
      </c>
      <c r="G49" s="29" t="inlineStr">
        <is>
          <t>—</t>
        </is>
      </c>
      <c r="H49" s="29" t="inlineStr">
        <is>
          <t>—</t>
        </is>
      </c>
    </row>
    <row r="50">
      <c r="B50" s="3" t="inlineStr">
        <is>
          <t>Trailing EV / EBITDA — median</t>
        </is>
      </c>
      <c r="D50" s="28">
        <f>IFERROR(MEDIAN(D36:H36),"")</f>
        <v/>
      </c>
      <c r="E50" s="29" t="inlineStr">
        <is>
          <t>—</t>
        </is>
      </c>
      <c r="F50" s="29" t="inlineStr">
        <is>
          <t>—</t>
        </is>
      </c>
      <c r="G50" s="29" t="inlineStr">
        <is>
          <t>—</t>
        </is>
      </c>
      <c r="H50" s="29" t="inlineStr">
        <is>
          <t>—</t>
        </is>
      </c>
    </row>
    <row r="51">
      <c r="B51" s="3" t="inlineStr">
        <is>
          <t>Trailing EV / EBITDA — mean</t>
        </is>
      </c>
      <c r="D51" s="28">
        <f>IFERROR(AVERAGE(D36:H36),"")</f>
        <v/>
      </c>
      <c r="E51" s="29" t="inlineStr">
        <is>
          <t>—</t>
        </is>
      </c>
      <c r="F51" s="29" t="inlineStr">
        <is>
          <t>—</t>
        </is>
      </c>
      <c r="G51" s="29" t="inlineStr">
        <is>
          <t>—</t>
        </is>
      </c>
      <c r="H51" s="29" t="inlineStr">
        <is>
          <t>—</t>
        </is>
      </c>
    </row>
    <row r="52">
      <c r="B52" s="3" t="inlineStr">
        <is>
          <t>Trailing P / E — median</t>
        </is>
      </c>
      <c r="D52" s="28">
        <f>IFERROR(MEDIAN(D37:H37),"")</f>
        <v/>
      </c>
      <c r="E52" s="29" t="inlineStr">
        <is>
          <t>—</t>
        </is>
      </c>
      <c r="F52" s="29" t="inlineStr">
        <is>
          <t>—</t>
        </is>
      </c>
      <c r="G52" s="29" t="inlineStr">
        <is>
          <t>—</t>
        </is>
      </c>
      <c r="H52" s="29" t="inlineStr">
        <is>
          <t>—</t>
        </is>
      </c>
    </row>
    <row r="53">
      <c r="B53" s="3" t="inlineStr">
        <is>
          <t>Trailing P / E — mean</t>
        </is>
      </c>
      <c r="D53" s="28">
        <f>IFERROR(AVERAGE(D37:H37),"")</f>
        <v/>
      </c>
      <c r="E53" s="29" t="inlineStr">
        <is>
          <t>—</t>
        </is>
      </c>
      <c r="F53" s="29" t="inlineStr">
        <is>
          <t>—</t>
        </is>
      </c>
      <c r="G53" s="29" t="inlineStr">
        <is>
          <t>—</t>
        </is>
      </c>
      <c r="H53" s="29" t="inlineStr">
        <is>
          <t>—</t>
        </is>
      </c>
    </row>
    <row r="54">
      <c r="B54" s="3" t="inlineStr">
        <is>
          <t>Forward EV / Revenue — median</t>
        </is>
      </c>
      <c r="D54" s="28">
        <f>IFERROR(MEDIAN(D43:H43),"")</f>
        <v/>
      </c>
      <c r="E54" s="29" t="inlineStr">
        <is>
          <t>—</t>
        </is>
      </c>
      <c r="F54" s="29" t="inlineStr">
        <is>
          <t>—</t>
        </is>
      </c>
      <c r="G54" s="29" t="inlineStr">
        <is>
          <t>—</t>
        </is>
      </c>
      <c r="H54" s="29" t="inlineStr">
        <is>
          <t>—</t>
        </is>
      </c>
    </row>
    <row r="55">
      <c r="B55" s="3" t="inlineStr">
        <is>
          <t>Forward EV / Revenue — mean</t>
        </is>
      </c>
      <c r="D55" s="28">
        <f>IFERROR(AVERAGE(D43:H43),"")</f>
        <v/>
      </c>
      <c r="E55" s="29" t="inlineStr">
        <is>
          <t>—</t>
        </is>
      </c>
      <c r="F55" s="29" t="inlineStr">
        <is>
          <t>—</t>
        </is>
      </c>
      <c r="G55" s="29" t="inlineStr">
        <is>
          <t>—</t>
        </is>
      </c>
      <c r="H55" s="29" t="inlineStr">
        <is>
          <t>—</t>
        </is>
      </c>
    </row>
    <row r="56">
      <c r="B56" s="3" t="inlineStr">
        <is>
          <t>Forward EV / EBITDA — median</t>
        </is>
      </c>
      <c r="D56" s="28">
        <f>IFERROR(MEDIAN(D44:H44),"")</f>
        <v/>
      </c>
      <c r="E56" s="29" t="inlineStr">
        <is>
          <t>—</t>
        </is>
      </c>
      <c r="F56" s="29" t="inlineStr">
        <is>
          <t>—</t>
        </is>
      </c>
      <c r="G56" s="29" t="inlineStr">
        <is>
          <t>—</t>
        </is>
      </c>
      <c r="H56" s="29" t="inlineStr">
        <is>
          <t>—</t>
        </is>
      </c>
    </row>
    <row r="57">
      <c r="B57" s="3" t="inlineStr">
        <is>
          <t>Forward EV / EBITDA — mean</t>
        </is>
      </c>
      <c r="D57" s="28">
        <f>IFERROR(AVERAGE(D44:H44),"")</f>
        <v/>
      </c>
      <c r="E57" s="29" t="inlineStr">
        <is>
          <t>—</t>
        </is>
      </c>
      <c r="F57" s="29" t="inlineStr">
        <is>
          <t>—</t>
        </is>
      </c>
      <c r="G57" s="29" t="inlineStr">
        <is>
          <t>—</t>
        </is>
      </c>
      <c r="H57" s="29" t="inlineStr">
        <is>
          <t>—</t>
        </is>
      </c>
    </row>
    <row r="58">
      <c r="B58" s="3" t="inlineStr">
        <is>
          <t>Forward P / E — median</t>
        </is>
      </c>
      <c r="D58" s="28">
        <f>IFERROR(MEDIAN(D45:H45),"")</f>
        <v/>
      </c>
      <c r="E58" s="29" t="inlineStr">
        <is>
          <t>—</t>
        </is>
      </c>
      <c r="F58" s="29" t="inlineStr">
        <is>
          <t>—</t>
        </is>
      </c>
      <c r="G58" s="29" t="inlineStr">
        <is>
          <t>—</t>
        </is>
      </c>
      <c r="H58" s="29" t="inlineStr">
        <is>
          <t>—</t>
        </is>
      </c>
    </row>
    <row r="59">
      <c r="B59" s="3" t="inlineStr">
        <is>
          <t>Forward P / E — mean</t>
        </is>
      </c>
      <c r="D59" s="28">
        <f>IFERROR(AVERAGE(D45:H45),"")</f>
        <v/>
      </c>
      <c r="E59" s="29" t="inlineStr">
        <is>
          <t>—</t>
        </is>
      </c>
      <c r="F59" s="29" t="inlineStr">
        <is>
          <t>—</t>
        </is>
      </c>
      <c r="G59" s="29" t="inlineStr">
        <is>
          <t>—</t>
        </is>
      </c>
      <c r="H59" s="29" t="inlineStr">
        <is>
          <t>—</t>
        </is>
      </c>
    </row>
    <row r="61">
      <c r="B61" s="30" t="inlineStr">
        <is>
          <t>Shaded blue cells are yours to fill: price and consensus are not filing data, so this workbook will not guess them.</t>
        </is>
      </c>
    </row>
    <row r="62">
      <c r="B62" s="30" t="inlineStr">
        <is>
          <t>Multiples recompute from the cells above. Never hard-code a multiple.</t>
        </is>
      </c>
    </row>
    <row r="63">
      <c r="B63" s="30" t="inlineStr">
        <is>
          <t>CALENDARISATION REQUIRED: these filers do not share a fiscal year end (Dec, Jan, Nov). The multiples above compare different twelve-month windows. Calendarise to a common year end before using them, and say in the footnote which filers were adjusted and how.</t>
        </is>
      </c>
    </row>
  </sheetData>
  <pageMargins left="0.75" right="0.75" top="1" bottom="1" header="0.5" footer="0.5"/>
  <pageSetup orientation="landscape" fitToHeight="0" fitToWidth="1"/>
  <headerFooter>
    <oddHeader/>
    <oddFooter>&amp;L&amp;8 &amp;K808080L3VLUP&amp;R&amp;8 &amp;K808080Page &amp;P of &amp;N — see Cover for notices</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outlinePr summaryBelow="1" summaryRight="1"/>
    <pageSetUpPr fitToPage="1"/>
  </sheetPr>
  <dimension ref="A1:F40"/>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3" customWidth="1" min="1" max="1"/>
    <col width="38" customWidth="1" min="2" max="2"/>
    <col width="1.7" customWidth="1" min="3" max="3"/>
    <col width="1.7" customWidth="1" min="4" max="4"/>
    <col width="10" customWidth="1" min="5" max="5"/>
  </cols>
  <sheetData>
    <row r="1" ht="6" customHeight="1">
      <c r="A1" s="1" t="n"/>
      <c r="B1" s="1" t="n"/>
      <c r="C1" s="1" t="n"/>
      <c r="D1" s="1" t="n"/>
      <c r="E1" s="1" t="n"/>
      <c r="F1" s="1" t="n"/>
    </row>
    <row r="2" ht="26" customHeight="1">
      <c r="A2" s="1" t="n"/>
      <c r="B2" s="1" t="n"/>
      <c r="C2" s="1" t="n"/>
      <c r="D2" s="1" t="n"/>
      <c r="E2" s="1" t="n"/>
      <c r="F2" s="1" t="n"/>
    </row>
    <row r="3" ht="6" customHeight="1">
      <c r="A3" s="1" t="n"/>
      <c r="B3" s="1" t="n"/>
      <c r="C3" s="1" t="n"/>
      <c r="D3" s="1" t="n"/>
      <c r="E3" s="1" t="n"/>
      <c r="F3" s="1" t="n"/>
    </row>
    <row r="4">
      <c r="B4" s="9" t="inlineStr">
        <is>
          <t>NVDA comparable companies</t>
        </is>
      </c>
    </row>
    <row r="5">
      <c r="B5" s="10" t="inlineStr">
        <is>
          <t>Inclusion and rejection rationale</t>
        </is>
      </c>
    </row>
    <row r="9">
      <c r="B9" s="4" t="inlineStr">
        <is>
          <t>Why each name is in the set</t>
        </is>
      </c>
    </row>
    <row r="10">
      <c r="B10" s="30" t="inlineStr">
        <is>
          <t>Fill the rationale column before you show this to anyone. Business-model similarity, size band, growth band, margin structure and end-market exposure are the five tests that survive scrutiny.</t>
        </is>
      </c>
    </row>
    <row r="12">
      <c r="B12" s="15" t="inlineStr">
        <is>
          <t>NVDA — NVIDIA CORP</t>
        </is>
      </c>
      <c r="D12" s="31" t="inlineStr">
        <is>
          <t>[rationale: business model / size / growth / margins / end market]</t>
        </is>
      </c>
    </row>
    <row r="13">
      <c r="B13" s="15" t="inlineStr">
        <is>
          <t>AMD — ADVANCED MICRO DEVICES INC</t>
        </is>
      </c>
      <c r="D13" s="31" t="inlineStr">
        <is>
          <t>[rationale: business model / size / growth / margins / end market]</t>
        </is>
      </c>
    </row>
    <row r="14">
      <c r="B14" s="15" t="inlineStr">
        <is>
          <t>AVGO — Broadcom Inc.</t>
        </is>
      </c>
      <c r="D14" s="31" t="inlineStr">
        <is>
          <t>[rationale: business model / size / growth / margins / end market]</t>
        </is>
      </c>
    </row>
    <row r="15">
      <c r="B15" s="15" t="inlineStr">
        <is>
          <t>MRVL — MARVELL TECHNOLOGY, INC</t>
        </is>
      </c>
      <c r="D15" s="31" t="inlineStr">
        <is>
          <t>[rationale: business model / size / growth / margins / end market]</t>
        </is>
      </c>
    </row>
    <row r="16">
      <c r="B16" s="15" t="inlineStr">
        <is>
          <t>INTC — INTEL CORP</t>
        </is>
      </c>
      <c r="D16" s="31" t="inlineStr">
        <is>
          <t>[rationale: business model / size / growth / margins / end market]</t>
        </is>
      </c>
    </row>
    <row r="18">
      <c r="B18" s="4" t="inlineStr">
        <is>
          <t>Names considered and rejected</t>
        </is>
      </c>
    </row>
    <row r="19">
      <c r="B19" s="30" t="inlineStr">
        <is>
          <t>An empty rejection list is a red flag. If you did not reject anyone, you did not build a set, you took a sector list.</t>
        </is>
      </c>
    </row>
    <row r="20">
      <c r="B20" s="15" t="inlineStr">
        <is>
          <t>[rejected ticker]</t>
        </is>
      </c>
      <c r="D20" s="31" t="inlineStr">
        <is>
          <t>[reason for rejection]</t>
        </is>
      </c>
    </row>
    <row r="21">
      <c r="B21" s="15" t="inlineStr">
        <is>
          <t>[rejected ticker]</t>
        </is>
      </c>
      <c r="D21" s="31" t="inlineStr">
        <is>
          <t>[reason for rejection]</t>
        </is>
      </c>
    </row>
    <row r="22">
      <c r="B22" s="15" t="inlineStr">
        <is>
          <t>[rejected ticker]</t>
        </is>
      </c>
      <c r="D22" s="31" t="inlineStr">
        <is>
          <t>[reason for rejection]</t>
        </is>
      </c>
    </row>
    <row r="23">
      <c r="B23" s="15" t="inlineStr">
        <is>
          <t>[rejected ticker]</t>
        </is>
      </c>
      <c r="D23" s="31" t="inlineStr">
        <is>
          <t>[reason for rejection]</t>
        </is>
      </c>
    </row>
    <row r="24">
      <c r="B24" s="15" t="inlineStr">
        <is>
          <t>[rejected ticker]</t>
        </is>
      </c>
      <c r="D24" s="31" t="inlineStr">
        <is>
          <t>[reason for rejection]</t>
        </is>
      </c>
    </row>
    <row r="25">
      <c r="B25" s="15" t="inlineStr">
        <is>
          <t>[rejected ticker]</t>
        </is>
      </c>
      <c r="D25" s="31" t="inlineStr">
        <is>
          <t>[reason for rejection]</t>
        </is>
      </c>
    </row>
    <row r="27">
      <c r="B27" s="4" t="inlineStr">
        <is>
          <t>Calendarisation</t>
        </is>
      </c>
    </row>
    <row r="28">
      <c r="B28" s="15" t="inlineStr">
        <is>
          <t>NVDA</t>
        </is>
      </c>
      <c r="D28" s="31" t="inlineStr">
        <is>
          <t>Fiscal year ends Jan · latest period FY2026</t>
        </is>
      </c>
    </row>
    <row r="29">
      <c r="B29" s="15" t="inlineStr">
        <is>
          <t>AMD</t>
        </is>
      </c>
      <c r="D29" s="31" t="inlineStr">
        <is>
          <t>Fiscal year ends Dec · latest period FY2025</t>
        </is>
      </c>
    </row>
    <row r="30">
      <c r="B30" s="15" t="inlineStr">
        <is>
          <t>AVGO</t>
        </is>
      </c>
      <c r="D30" s="31" t="inlineStr">
        <is>
          <t>Fiscal year ends Nov · latest period FY2025</t>
        </is>
      </c>
    </row>
    <row r="31">
      <c r="B31" s="15" t="inlineStr">
        <is>
          <t>MRVL</t>
        </is>
      </c>
      <c r="D31" s="31" t="inlineStr">
        <is>
          <t>Fiscal year ends Jan · latest period FY2026</t>
        </is>
      </c>
    </row>
    <row r="32">
      <c r="B32" s="15" t="inlineStr">
        <is>
          <t>INTC</t>
        </is>
      </c>
      <c r="D32" s="31" t="inlineStr">
        <is>
          <t>Fiscal year ends Dec · latest period FY2025</t>
        </is>
      </c>
    </row>
    <row r="33">
      <c r="B33" s="30" t="inlineStr">
        <is>
          <t>Year ends differ across the set. State the common year end you calendarised to and which filers were stubbed, or the comparison is not a comparison.</t>
        </is>
      </c>
    </row>
    <row r="35">
      <c r="B35" s="4" t="inlineStr">
        <is>
          <t>Adjustments made</t>
        </is>
      </c>
    </row>
    <row r="36">
      <c r="B36" s="30" t="inlineStr">
        <is>
          <t>Note every adjustment here: stock-based compensation treatment, operating leases capitalised or not, non-recurring items excluded, fiscal-year calendarisation. An unstated adjustment is the fastest way to lose the room.</t>
        </is>
      </c>
    </row>
    <row r="37">
      <c r="B37" s="15" t="inlineStr">
        <is>
          <t>[adjustment]</t>
        </is>
      </c>
      <c r="D37" s="31" t="inlineStr">
        <is>
          <t>[what and why]</t>
        </is>
      </c>
    </row>
    <row r="38">
      <c r="B38" s="15" t="inlineStr">
        <is>
          <t>[adjustment]</t>
        </is>
      </c>
      <c r="D38" s="31" t="inlineStr">
        <is>
          <t>[what and why]</t>
        </is>
      </c>
    </row>
    <row r="39">
      <c r="B39" s="15" t="inlineStr">
        <is>
          <t>[adjustment]</t>
        </is>
      </c>
      <c r="D39" s="31" t="inlineStr">
        <is>
          <t>[what and why]</t>
        </is>
      </c>
    </row>
    <row r="40">
      <c r="B40" s="15" t="inlineStr">
        <is>
          <t>[adjustment]</t>
        </is>
      </c>
      <c r="D40" s="31" t="inlineStr">
        <is>
          <t>[what and why]</t>
        </is>
      </c>
    </row>
  </sheetData>
  <pageMargins left="0.75" right="0.75" top="1" bottom="1" header="0.5" footer="0.5"/>
  <pageSetup orientation="landscape" fitToHeight="0" fitToWidth="1"/>
  <headerFooter>
    <oddHeader/>
    <oddFooter>&amp;L&amp;8 &amp;K808080L3VLUP&amp;R&amp;8 &amp;K808080Page &amp;P of &amp;N — see Cover for notices</oddFooter>
    <evenHeader/>
    <evenFooter/>
    <firstHeader/>
    <firstFooter/>
  </headerFooter>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F56"/>
  <sheetViews>
    <sheetView showGridLines="0" workbookViewId="0">
      <pane xSplit="2" ySplit="8" topLeftCell="C9" activePane="bottomRight" state="frozen"/>
      <selection pane="topRight"/>
      <selection pane="bottomLeft"/>
      <selection pane="bottomRight" activeCell="A1" sqref="A1"/>
    </sheetView>
  </sheetViews>
  <sheetFormatPr baseColWidth="8" defaultRowHeight="15"/>
  <cols>
    <col width="3" customWidth="1" min="1" max="1"/>
    <col width="4" customWidth="1" min="2" max="2"/>
    <col width="34" customWidth="1" min="3" max="3"/>
    <col width="56" customWidth="1" min="4" max="4"/>
    <col width="24" customWidth="1" min="5" max="5"/>
    <col width="70" customWidth="1" min="6" max="6"/>
  </cols>
  <sheetData>
    <row r="1" ht="6" customHeight="1">
      <c r="A1" s="1" t="n"/>
      <c r="B1" s="1" t="n"/>
      <c r="C1" s="1" t="n"/>
      <c r="D1" s="1" t="n"/>
      <c r="E1" s="1" t="n"/>
      <c r="F1" s="1" t="n"/>
    </row>
    <row r="2" ht="26" customHeight="1">
      <c r="A2" s="1" t="n"/>
      <c r="B2" s="1" t="n"/>
      <c r="C2" s="1" t="n"/>
      <c r="D2" s="1" t="n"/>
      <c r="E2" s="1" t="n"/>
      <c r="F2" s="1" t="n"/>
    </row>
    <row r="3" ht="6" customHeight="1">
      <c r="A3" s="1" t="n"/>
      <c r="B3" s="1" t="n"/>
      <c r="C3" s="1" t="n"/>
      <c r="D3" s="1" t="n"/>
      <c r="E3" s="1" t="n"/>
      <c r="F3" s="1" t="n"/>
    </row>
    <row r="4">
      <c r="B4" s="9" t="inlineStr">
        <is>
          <t>NVDA comparable companies</t>
        </is>
      </c>
    </row>
    <row r="5">
      <c r="B5" s="10" t="inlineStr">
        <is>
          <t>Sources and audit trail</t>
        </is>
      </c>
    </row>
    <row r="6">
      <c r="B6" s="11" t="inlineStr">
        <is>
          <t>Every marker in the [n] column of any tab resolves here. Historic financials come from filings, never from an aggregator.</t>
        </is>
      </c>
    </row>
    <row r="7">
      <c r="B7" s="32" t="inlineStr">
        <is>
          <t>Share price and forward consensus are user inputs and carry no filing provenance by design.</t>
        </is>
      </c>
    </row>
    <row r="8">
      <c r="B8" s="4" t="inlineStr">
        <is>
          <t>#</t>
        </is>
      </c>
      <c r="C8" s="4" t="inlineStr">
        <is>
          <t>Source</t>
        </is>
      </c>
      <c r="D8" s="4" t="inlineStr">
        <is>
          <t>Detail</t>
        </is>
      </c>
      <c r="E8" s="4" t="inlineStr">
        <is>
          <t>Accession</t>
        </is>
      </c>
      <c r="F8" s="4" t="inlineStr">
        <is>
          <t>Link</t>
        </is>
      </c>
    </row>
    <row r="9">
      <c r="B9" s="33" t="n">
        <v>1</v>
      </c>
      <c r="C9" s="15" t="inlineStr">
        <is>
          <t>NVDA FY2026 10-K</t>
        </is>
      </c>
      <c r="D9" s="33" t="inlineStr">
        <is>
          <t>us-gaap:WeightedAverageNumberOfDilutedSharesOutstanding · period ending 2026-01-25 · shares · filed 2026-02-25</t>
        </is>
      </c>
      <c r="E9" s="33" t="inlineStr">
        <is>
          <t>0001045810-26-000021</t>
        </is>
      </c>
      <c r="F9" s="34" t="inlineStr">
        <is>
          <t>https://www.sec.gov/Archives/edgar/data/1045810/000104581026000021/0001045810-26-000021-index.htm</t>
        </is>
      </c>
    </row>
    <row r="10">
      <c r="B10" s="33" t="n">
        <v>2</v>
      </c>
      <c r="C10" s="15" t="inlineStr">
        <is>
          <t>AMD FY2025 10-K</t>
        </is>
      </c>
      <c r="D10" s="33" t="inlineStr">
        <is>
          <t>us-gaap:WeightedAverageNumberOfDilutedSharesOutstanding · period ending 2025-12-27 · shares · filed 2026-02-04</t>
        </is>
      </c>
      <c r="E10" s="33" t="inlineStr">
        <is>
          <t>0000002488-26-000018</t>
        </is>
      </c>
      <c r="F10" s="34" t="inlineStr">
        <is>
          <t>https://www.sec.gov/Archives/edgar/data/2488/000000248826000018/0000002488-26-000018-index.htm</t>
        </is>
      </c>
    </row>
    <row r="11">
      <c r="B11" s="33" t="n">
        <v>3</v>
      </c>
      <c r="C11" s="15" t="inlineStr">
        <is>
          <t>AVGO FY2025 10-K</t>
        </is>
      </c>
      <c r="D11" s="33" t="inlineStr">
        <is>
          <t>us-gaap:WeightedAverageNumberOfDilutedSharesOutstanding · period ending 2025-11-02 · shares · filed 2025-12-18</t>
        </is>
      </c>
      <c r="E11" s="33" t="inlineStr">
        <is>
          <t>0001730168-25-000121</t>
        </is>
      </c>
      <c r="F11" s="34" t="inlineStr">
        <is>
          <t>https://www.sec.gov/Archives/edgar/data/1730168/000173016825000121/0001730168-25-000121-index.htm</t>
        </is>
      </c>
    </row>
    <row r="12">
      <c r="B12" s="33" t="n">
        <v>4</v>
      </c>
      <c r="C12" s="15" t="inlineStr">
        <is>
          <t>MRVL FY2026 10-K</t>
        </is>
      </c>
      <c r="D12" s="33" t="inlineStr">
        <is>
          <t>us-gaap:WeightedAverageNumberOfDilutedSharesOutstanding · period ending 2026-01-31 · shares · filed 2026-03-11</t>
        </is>
      </c>
      <c r="E12" s="33" t="inlineStr">
        <is>
          <t>0001835632-26-000011</t>
        </is>
      </c>
      <c r="F12" s="34" t="inlineStr">
        <is>
          <t>https://www.sec.gov/Archives/edgar/data/1835632/000183563226000011/0001835632-26-000011-index.htm</t>
        </is>
      </c>
    </row>
    <row r="13">
      <c r="B13" s="33" t="n">
        <v>5</v>
      </c>
      <c r="C13" s="15" t="inlineStr">
        <is>
          <t>INTC FY2025 10-K</t>
        </is>
      </c>
      <c r="D13" s="33" t="inlineStr">
        <is>
          <t>us-gaap:WeightedAverageNumberOfDilutedSharesOutstanding · period ending 2025-12-27 · shares · filed 2026-01-23</t>
        </is>
      </c>
      <c r="E13" s="33" t="inlineStr">
        <is>
          <t>0000050863-26-000011</t>
        </is>
      </c>
      <c r="F13" s="34" t="inlineStr">
        <is>
          <t>https://www.sec.gov/Archives/edgar/data/50863/000005086326000011/0000050863-26-000011-index.htm</t>
        </is>
      </c>
    </row>
    <row r="14">
      <c r="B14" s="33" t="n">
        <v>6</v>
      </c>
      <c r="C14" s="15" t="inlineStr">
        <is>
          <t>NVDA FY2026 10-K</t>
        </is>
      </c>
      <c r="D14" s="33" t="inlineStr">
        <is>
          <t>us-gaap:LongTermDebt · period ending 2026-01-25 · USD · filed 2026-02-25</t>
        </is>
      </c>
      <c r="E14" s="33" t="inlineStr">
        <is>
          <t>0001045810-26-000021</t>
        </is>
      </c>
      <c r="F14" s="34" t="inlineStr">
        <is>
          <t>https://www.sec.gov/Archives/edgar/data/1045810/000104581026000021/0001045810-26-000021-index.htm</t>
        </is>
      </c>
    </row>
    <row r="15">
      <c r="B15" s="33" t="n">
        <v>7</v>
      </c>
      <c r="C15" s="15" t="inlineStr">
        <is>
          <t>AMD FY2025 10-K</t>
        </is>
      </c>
      <c r="D15" s="33" t="inlineStr">
        <is>
          <t>us-gaap:DebtInstrumentCarryingAmount · period ending 2025-12-27 · USD · filed 2026-02-04</t>
        </is>
      </c>
      <c r="E15" s="33" t="inlineStr">
        <is>
          <t>0000002488-26-000018</t>
        </is>
      </c>
      <c r="F15" s="34" t="inlineStr">
        <is>
          <t>https://www.sec.gov/Archives/edgar/data/2488/000000248826000018/0000002488-26-000018-index.htm</t>
        </is>
      </c>
    </row>
    <row r="16">
      <c r="B16" s="33" t="n">
        <v>8</v>
      </c>
      <c r="C16" s="15" t="inlineStr">
        <is>
          <t>AVGO FY2025 10-K</t>
        </is>
      </c>
      <c r="D16" s="33" t="inlineStr">
        <is>
          <t>us-gaap:DebtInstrumentCarryingAmount · period ending 2025-11-02 · USD · filed 2025-12-18</t>
        </is>
      </c>
      <c r="E16" s="33" t="inlineStr">
        <is>
          <t>0001730168-25-000121</t>
        </is>
      </c>
      <c r="F16" s="34" t="inlineStr">
        <is>
          <t>https://www.sec.gov/Archives/edgar/data/1730168/000173016825000121/0001730168-25-000121-index.htm</t>
        </is>
      </c>
    </row>
    <row r="17">
      <c r="B17" s="33" t="n">
        <v>9</v>
      </c>
      <c r="C17" s="15" t="inlineStr">
        <is>
          <t>MRVL FY2026 10-K</t>
        </is>
      </c>
      <c r="D17" s="33" t="inlineStr">
        <is>
          <t>us-gaap:LongTermDebtNoncurrent · period ending 2026-01-31 · USD · filed 2026-03-11</t>
        </is>
      </c>
      <c r="E17" s="33" t="inlineStr">
        <is>
          <t>0001835632-26-000011</t>
        </is>
      </c>
      <c r="F17" s="34" t="inlineStr">
        <is>
          <t>https://www.sec.gov/Archives/edgar/data/1835632/000183563226000011/0001835632-26-000011-index.htm</t>
        </is>
      </c>
    </row>
    <row r="18">
      <c r="B18" s="33" t="n">
        <v>10</v>
      </c>
      <c r="C18" s="15" t="inlineStr">
        <is>
          <t>INTC FY2025 10-K</t>
        </is>
      </c>
      <c r="D18" s="33" t="inlineStr">
        <is>
          <t>us-gaap:LongTermDebtNoncurrent · period ending 2025-12-27 · USD · filed 2026-01-23</t>
        </is>
      </c>
      <c r="E18" s="33" t="inlineStr">
        <is>
          <t>0000050863-26-000011</t>
        </is>
      </c>
      <c r="F18" s="34" t="inlineStr">
        <is>
          <t>https://www.sec.gov/Archives/edgar/data/50863/000005086326000011/0000050863-26-000011-index.htm</t>
        </is>
      </c>
    </row>
    <row r="19">
      <c r="B19" s="33" t="n">
        <v>11</v>
      </c>
      <c r="C19" s="15" t="inlineStr">
        <is>
          <t>NVDA FY2026 10-K</t>
        </is>
      </c>
      <c r="D19" s="33" t="inlineStr">
        <is>
          <t>us-gaap:CashAndCashEquivalentsAtCarryingValue · period ending 2026-01-25 · USD · filed 2026-02-25</t>
        </is>
      </c>
      <c r="E19" s="33" t="inlineStr">
        <is>
          <t>0001045810-26-000021</t>
        </is>
      </c>
      <c r="F19" s="34" t="inlineStr">
        <is>
          <t>https://www.sec.gov/Archives/edgar/data/1045810/000104581026000021/0001045810-26-000021-index.htm</t>
        </is>
      </c>
    </row>
    <row r="20">
      <c r="B20" s="33" t="n">
        <v>12</v>
      </c>
      <c r="C20" s="15" t="inlineStr">
        <is>
          <t>AMD FY2025 10-K</t>
        </is>
      </c>
      <c r="D20" s="33" t="inlineStr">
        <is>
          <t>us-gaap:CashAndCashEquivalentsAtCarryingValue · period ending 2025-12-27 · USD · filed 2026-02-04</t>
        </is>
      </c>
      <c r="E20" s="33" t="inlineStr">
        <is>
          <t>0000002488-26-000018</t>
        </is>
      </c>
      <c r="F20" s="34" t="inlineStr">
        <is>
          <t>https://www.sec.gov/Archives/edgar/data/2488/000000248826000018/0000002488-26-000018-index.htm</t>
        </is>
      </c>
    </row>
    <row r="21">
      <c r="B21" s="33" t="n">
        <v>13</v>
      </c>
      <c r="C21" s="15" t="inlineStr">
        <is>
          <t>AVGO FY2025 10-K</t>
        </is>
      </c>
      <c r="D21" s="33" t="inlineStr">
        <is>
          <t>us-gaap:CashAndCashEquivalentsAtCarryingValue · period ending 2025-11-02 · USD · filed 2025-12-18</t>
        </is>
      </c>
      <c r="E21" s="33" t="inlineStr">
        <is>
          <t>0001730168-25-000121</t>
        </is>
      </c>
      <c r="F21" s="34" t="inlineStr">
        <is>
          <t>https://www.sec.gov/Archives/edgar/data/1730168/000173016825000121/0001730168-25-000121-index.htm</t>
        </is>
      </c>
    </row>
    <row r="22">
      <c r="B22" s="33" t="n">
        <v>14</v>
      </c>
      <c r="C22" s="15" t="inlineStr">
        <is>
          <t>MRVL FY2026 10-K</t>
        </is>
      </c>
      <c r="D22" s="33" t="inlineStr">
        <is>
          <t>us-gaap:CashCashEquivalentsRestrictedCashAndRestrictedCashEquivalents · period ending 2026-01-31 · USD · filed 2026-03-11</t>
        </is>
      </c>
      <c r="E22" s="33" t="inlineStr">
        <is>
          <t>0001835632-26-000011</t>
        </is>
      </c>
      <c r="F22" s="34" t="inlineStr">
        <is>
          <t>https://www.sec.gov/Archives/edgar/data/1835632/000183563226000011/0001835632-26-000011-index.htm</t>
        </is>
      </c>
    </row>
    <row r="23">
      <c r="B23" s="33" t="n">
        <v>15</v>
      </c>
      <c r="C23" s="15" t="inlineStr">
        <is>
          <t>INTC FY2025 10-K</t>
        </is>
      </c>
      <c r="D23" s="33" t="inlineStr">
        <is>
          <t>us-gaap:CashAndCashEquivalentsAtCarryingValue · period ending 2025-12-27 · USD · filed 2026-01-23</t>
        </is>
      </c>
      <c r="E23" s="33" t="inlineStr">
        <is>
          <t>0000050863-26-000011</t>
        </is>
      </c>
      <c r="F23" s="34" t="inlineStr">
        <is>
          <t>https://www.sec.gov/Archives/edgar/data/50863/000005086326000011/0000050863-26-000011-index.htm</t>
        </is>
      </c>
    </row>
    <row r="24">
      <c r="B24" s="33" t="n">
        <v>16</v>
      </c>
      <c r="C24" s="15" t="inlineStr">
        <is>
          <t>NVDA FY2025 10-K</t>
        </is>
      </c>
      <c r="D24" s="33" t="inlineStr">
        <is>
          <t>us-gaap:MarketableSecuritiesCurrent · period ending 2025-01-26 · USD · filed 2025-02-26</t>
        </is>
      </c>
      <c r="E24" s="33" t="inlineStr">
        <is>
          <t>0001045810-25-000023</t>
        </is>
      </c>
      <c r="F24" s="34" t="inlineStr">
        <is>
          <t>https://www.sec.gov/Archives/edgar/data/1045810/000104581025000023/0001045810-25-000023-index.htm</t>
        </is>
      </c>
    </row>
    <row r="25">
      <c r="B25" s="33" t="n">
        <v>17</v>
      </c>
      <c r="C25" s="15" t="inlineStr">
        <is>
          <t>AMD FY2025 10-K</t>
        </is>
      </c>
      <c r="D25" s="33" t="inlineStr">
        <is>
          <t>us-gaap:ShortTermInvestments · period ending 2025-12-27 · USD · filed 2026-02-04</t>
        </is>
      </c>
      <c r="E25" s="33" t="inlineStr">
        <is>
          <t>0000002488-26-000018</t>
        </is>
      </c>
      <c r="F25" s="34" t="inlineStr">
        <is>
          <t>https://www.sec.gov/Archives/edgar/data/2488/000000248826000018/0000002488-26-000018-index.htm</t>
        </is>
      </c>
    </row>
    <row r="26">
      <c r="B26" s="33" t="n">
        <v>18</v>
      </c>
      <c r="C26" s="15" t="inlineStr">
        <is>
          <t>INTC FY2025 10-K</t>
        </is>
      </c>
      <c r="D26" s="33" t="inlineStr">
        <is>
          <t>us-gaap:AvailableForSaleSecuritiesDebtSecuritiesCurrent · period ending 2025-12-27 · USD · filed 2026-01-23</t>
        </is>
      </c>
      <c r="E26" s="33" t="inlineStr">
        <is>
          <t>0000050863-26-000011</t>
        </is>
      </c>
      <c r="F26" s="34" t="inlineStr">
        <is>
          <t>https://www.sec.gov/Archives/edgar/data/50863/000005086326000011/0000050863-26-000011-index.htm</t>
        </is>
      </c>
    </row>
    <row r="27">
      <c r="B27" s="33" t="n">
        <v>19</v>
      </c>
      <c r="C27" s="15" t="inlineStr">
        <is>
          <t>NVDA FY2026 10-K</t>
        </is>
      </c>
      <c r="D27" s="33" t="inlineStr">
        <is>
          <t>us-gaap:Revenues · period ending 2026-01-25 · USD · filed 2026-02-25</t>
        </is>
      </c>
      <c r="E27" s="33" t="inlineStr">
        <is>
          <t>0001045810-26-000021</t>
        </is>
      </c>
      <c r="F27" s="34" t="inlineStr">
        <is>
          <t>https://www.sec.gov/Archives/edgar/data/1045810/000104581026000021/0001045810-26-000021-index.htm</t>
        </is>
      </c>
    </row>
    <row r="28">
      <c r="B28" s="33" t="n">
        <v>20</v>
      </c>
      <c r="C28" s="15" t="inlineStr">
        <is>
          <t>AMD FY2025 10-K</t>
        </is>
      </c>
      <c r="D28" s="33" t="inlineStr">
        <is>
          <t>us-gaap:RevenueFromContractWithCustomerExcludingAssessedTax · period ending 2025-12-27 · USD · filed 2026-02-04</t>
        </is>
      </c>
      <c r="E28" s="33" t="inlineStr">
        <is>
          <t>0000002488-26-000018</t>
        </is>
      </c>
      <c r="F28" s="34" t="inlineStr">
        <is>
          <t>https://www.sec.gov/Archives/edgar/data/2488/000000248826000018/0000002488-26-000018-index.htm</t>
        </is>
      </c>
    </row>
    <row r="29">
      <c r="B29" s="33" t="n">
        <v>21</v>
      </c>
      <c r="C29" s="15" t="inlineStr">
        <is>
          <t>AVGO FY2025 10-K</t>
        </is>
      </c>
      <c r="D29" s="33" t="inlineStr">
        <is>
          <t>us-gaap:RevenueFromContractWithCustomerExcludingAssessedTax · period ending 2025-11-02 · USD · filed 2025-12-18</t>
        </is>
      </c>
      <c r="E29" s="33" t="inlineStr">
        <is>
          <t>0001730168-25-000121</t>
        </is>
      </c>
      <c r="F29" s="34" t="inlineStr">
        <is>
          <t>https://www.sec.gov/Archives/edgar/data/1730168/000173016825000121/0001730168-25-000121-index.htm</t>
        </is>
      </c>
    </row>
    <row r="30">
      <c r="B30" s="33" t="n">
        <v>22</v>
      </c>
      <c r="C30" s="15" t="inlineStr">
        <is>
          <t>MRVL FY2026 10-K</t>
        </is>
      </c>
      <c r="D30" s="33" t="inlineStr">
        <is>
          <t>us-gaap:RevenueFromContractWithCustomerExcludingAssessedTax · period ending 2026-01-31 · USD · filed 2026-03-11</t>
        </is>
      </c>
      <c r="E30" s="33" t="inlineStr">
        <is>
          <t>0001835632-26-000011</t>
        </is>
      </c>
      <c r="F30" s="34" t="inlineStr">
        <is>
          <t>https://www.sec.gov/Archives/edgar/data/1835632/000183563226000011/0001835632-26-000011-index.htm</t>
        </is>
      </c>
    </row>
    <row r="31">
      <c r="B31" s="33" t="n">
        <v>23</v>
      </c>
      <c r="C31" s="15" t="inlineStr">
        <is>
          <t>INTC FY2025 10-K</t>
        </is>
      </c>
      <c r="D31" s="33" t="inlineStr">
        <is>
          <t>us-gaap:RevenueFromContractWithCustomerExcludingAssessedTax · period ending 2025-12-27 · USD · filed 2026-01-23</t>
        </is>
      </c>
      <c r="E31" s="33" t="inlineStr">
        <is>
          <t>0000050863-26-000011</t>
        </is>
      </c>
      <c r="F31" s="34" t="inlineStr">
        <is>
          <t>https://www.sec.gov/Archives/edgar/data/50863/000005086326000011/0000050863-26-000011-index.htm</t>
        </is>
      </c>
    </row>
    <row r="32">
      <c r="B32" s="33" t="n">
        <v>24</v>
      </c>
      <c r="C32" s="15" t="inlineStr">
        <is>
          <t>NVDA FY2026 10-K</t>
        </is>
      </c>
      <c r="D32" s="33" t="inlineStr">
        <is>
          <t>us-gaap:GrossProfit · period ending 2026-01-25 · USD · filed 2026-02-25</t>
        </is>
      </c>
      <c r="E32" s="33" t="inlineStr">
        <is>
          <t>0001045810-26-000021</t>
        </is>
      </c>
      <c r="F32" s="34" t="inlineStr">
        <is>
          <t>https://www.sec.gov/Archives/edgar/data/1045810/000104581026000021/0001045810-26-000021-index.htm</t>
        </is>
      </c>
    </row>
    <row r="33">
      <c r="B33" s="33" t="n">
        <v>25</v>
      </c>
      <c r="C33" s="15" t="inlineStr">
        <is>
          <t>AMD FY2025 10-K</t>
        </is>
      </c>
      <c r="D33" s="33" t="inlineStr">
        <is>
          <t>us-gaap:GrossProfit · period ending 2025-12-27 · USD · filed 2026-02-04</t>
        </is>
      </c>
      <c r="E33" s="33" t="inlineStr">
        <is>
          <t>0000002488-26-000018</t>
        </is>
      </c>
      <c r="F33" s="34" t="inlineStr">
        <is>
          <t>https://www.sec.gov/Archives/edgar/data/2488/000000248826000018/0000002488-26-000018-index.htm</t>
        </is>
      </c>
    </row>
    <row r="34">
      <c r="B34" s="33" t="n">
        <v>26</v>
      </c>
      <c r="C34" s="15" t="inlineStr">
        <is>
          <t>AVGO FY2025 10-K</t>
        </is>
      </c>
      <c r="D34" s="33" t="inlineStr">
        <is>
          <t>us-gaap:GrossProfit · period ending 2025-11-02 · USD · filed 2025-12-18</t>
        </is>
      </c>
      <c r="E34" s="33" t="inlineStr">
        <is>
          <t>0001730168-25-000121</t>
        </is>
      </c>
      <c r="F34" s="34" t="inlineStr">
        <is>
          <t>https://www.sec.gov/Archives/edgar/data/1730168/000173016825000121/0001730168-25-000121-index.htm</t>
        </is>
      </c>
    </row>
    <row r="35">
      <c r="B35" s="33" t="n">
        <v>27</v>
      </c>
      <c r="C35" s="15" t="inlineStr">
        <is>
          <t>MRVL FY2026 10-K</t>
        </is>
      </c>
      <c r="D35" s="33" t="inlineStr">
        <is>
          <t>us-gaap:GrossProfit · period ending 2026-01-31 · USD · filed 2026-03-11</t>
        </is>
      </c>
      <c r="E35" s="33" t="inlineStr">
        <is>
          <t>0001835632-26-000011</t>
        </is>
      </c>
      <c r="F35" s="34" t="inlineStr">
        <is>
          <t>https://www.sec.gov/Archives/edgar/data/1835632/000183563226000011/0001835632-26-000011-index.htm</t>
        </is>
      </c>
    </row>
    <row r="36">
      <c r="B36" s="33" t="n">
        <v>28</v>
      </c>
      <c r="C36" s="15" t="inlineStr">
        <is>
          <t>INTC FY2025 10-K</t>
        </is>
      </c>
      <c r="D36" s="33" t="inlineStr">
        <is>
          <t>us-gaap:GrossProfit · period ending 2025-12-27 · USD · filed 2026-01-23</t>
        </is>
      </c>
      <c r="E36" s="33" t="inlineStr">
        <is>
          <t>0000050863-26-000011</t>
        </is>
      </c>
      <c r="F36" s="34" t="inlineStr">
        <is>
          <t>https://www.sec.gov/Archives/edgar/data/50863/000005086326000011/0000050863-26-000011-index.htm</t>
        </is>
      </c>
    </row>
    <row r="37">
      <c r="B37" s="33" t="n">
        <v>29</v>
      </c>
      <c r="C37" s="15" t="inlineStr">
        <is>
          <t>NVDA FY2026 10-K</t>
        </is>
      </c>
      <c r="D37" s="33" t="inlineStr">
        <is>
          <t>us-gaap:OperatingIncomeLoss · period ending 2026-01-25 · USD · filed 2026-02-25</t>
        </is>
      </c>
      <c r="E37" s="33" t="inlineStr">
        <is>
          <t>0001045810-26-000021</t>
        </is>
      </c>
      <c r="F37" s="34" t="inlineStr">
        <is>
          <t>https://www.sec.gov/Archives/edgar/data/1045810/000104581026000021/0001045810-26-000021-index.htm</t>
        </is>
      </c>
    </row>
    <row r="38">
      <c r="B38" s="33" t="n">
        <v>30</v>
      </c>
      <c r="C38" s="15" t="inlineStr">
        <is>
          <t>AMD FY2025 10-K</t>
        </is>
      </c>
      <c r="D38" s="33" t="inlineStr">
        <is>
          <t>us-gaap:OperatingIncomeLoss · period ending 2025-12-27 · USD · filed 2026-02-04</t>
        </is>
      </c>
      <c r="E38" s="33" t="inlineStr">
        <is>
          <t>0000002488-26-000018</t>
        </is>
      </c>
      <c r="F38" s="34" t="inlineStr">
        <is>
          <t>https://www.sec.gov/Archives/edgar/data/2488/000000248826000018/0000002488-26-000018-index.htm</t>
        </is>
      </c>
    </row>
    <row r="39">
      <c r="B39" s="33" t="n">
        <v>31</v>
      </c>
      <c r="C39" s="15" t="inlineStr">
        <is>
          <t>AVGO FY2025 10-K</t>
        </is>
      </c>
      <c r="D39" s="33" t="inlineStr">
        <is>
          <t>us-gaap:OperatingIncomeLoss · period ending 2025-11-02 · USD · filed 2025-12-18</t>
        </is>
      </c>
      <c r="E39" s="33" t="inlineStr">
        <is>
          <t>0001730168-25-000121</t>
        </is>
      </c>
      <c r="F39" s="34" t="inlineStr">
        <is>
          <t>https://www.sec.gov/Archives/edgar/data/1730168/000173016825000121/0001730168-25-000121-index.htm</t>
        </is>
      </c>
    </row>
    <row r="40">
      <c r="B40" s="33" t="n">
        <v>32</v>
      </c>
      <c r="C40" s="15" t="inlineStr">
        <is>
          <t>MRVL FY2026 10-K</t>
        </is>
      </c>
      <c r="D40" s="33" t="inlineStr">
        <is>
          <t>us-gaap:OperatingIncomeLoss · period ending 2026-01-31 · USD · filed 2026-03-11</t>
        </is>
      </c>
      <c r="E40" s="33" t="inlineStr">
        <is>
          <t>0001835632-26-000011</t>
        </is>
      </c>
      <c r="F40" s="34" t="inlineStr">
        <is>
          <t>https://www.sec.gov/Archives/edgar/data/1835632/000183563226000011/0001835632-26-000011-index.htm</t>
        </is>
      </c>
    </row>
    <row r="41">
      <c r="B41" s="33" t="n">
        <v>33</v>
      </c>
      <c r="C41" s="15" t="inlineStr">
        <is>
          <t>INTC FY2025 10-K</t>
        </is>
      </c>
      <c r="D41" s="33" t="inlineStr">
        <is>
          <t>us-gaap:OperatingIncomeLoss · period ending 2025-12-27 · USD · filed 2026-01-23</t>
        </is>
      </c>
      <c r="E41" s="33" t="inlineStr">
        <is>
          <t>0000050863-26-000011</t>
        </is>
      </c>
      <c r="F41" s="34" t="inlineStr">
        <is>
          <t>https://www.sec.gov/Archives/edgar/data/50863/000005086326000011/0000050863-26-000011-index.htm</t>
        </is>
      </c>
    </row>
    <row r="42">
      <c r="B42" s="33" t="n">
        <v>34</v>
      </c>
      <c r="C42" s="15" t="inlineStr">
        <is>
          <t>NVDA FY2026 10-K</t>
        </is>
      </c>
      <c r="D42" s="33" t="inlineStr">
        <is>
          <t>us-gaap:Depreciation · period ending 2026-01-25 · USD · filed 2026-02-25</t>
        </is>
      </c>
      <c r="E42" s="33" t="inlineStr">
        <is>
          <t>0001045810-26-000021</t>
        </is>
      </c>
      <c r="F42" s="34" t="inlineStr">
        <is>
          <t>https://www.sec.gov/Archives/edgar/data/1045810/000104581026000021/0001045810-26-000021-index.htm</t>
        </is>
      </c>
    </row>
    <row r="43">
      <c r="B43" s="33" t="n">
        <v>35</v>
      </c>
      <c r="C43" s="15" t="inlineStr">
        <is>
          <t>AMD FY2025 10-K</t>
        </is>
      </c>
      <c r="D43" s="33" t="inlineStr">
        <is>
          <t>us-gaap:Depreciation · period ending 2025-12-27 · USD · filed 2026-02-04</t>
        </is>
      </c>
      <c r="E43" s="33" t="inlineStr">
        <is>
          <t>0000002488-26-000018</t>
        </is>
      </c>
      <c r="F43" s="34" t="inlineStr">
        <is>
          <t>https://www.sec.gov/Archives/edgar/data/2488/000000248826000018/0000002488-26-000018-index.htm</t>
        </is>
      </c>
    </row>
    <row r="44">
      <c r="B44" s="33" t="n">
        <v>36</v>
      </c>
      <c r="C44" s="15" t="inlineStr">
        <is>
          <t>AVGO FY2025 10-K</t>
        </is>
      </c>
      <c r="D44" s="33" t="inlineStr">
        <is>
          <t>us-gaap:Depreciation · period ending 2025-11-02 · USD · filed 2025-12-18</t>
        </is>
      </c>
      <c r="E44" s="33" t="inlineStr">
        <is>
          <t>0001730168-25-000121</t>
        </is>
      </c>
      <c r="F44" s="34" t="inlineStr">
        <is>
          <t>https://www.sec.gov/Archives/edgar/data/1730168/000173016825000121/0001730168-25-000121-index.htm</t>
        </is>
      </c>
    </row>
    <row r="45">
      <c r="B45" s="33" t="n">
        <v>37</v>
      </c>
      <c r="C45" s="15" t="inlineStr">
        <is>
          <t>MRVL FY2026 10-K</t>
        </is>
      </c>
      <c r="D45" s="33" t="inlineStr">
        <is>
          <t>us-gaap:Depreciation · period ending 2026-01-31 · USD · filed 2026-03-11</t>
        </is>
      </c>
      <c r="E45" s="33" t="inlineStr">
        <is>
          <t>0001835632-26-000011</t>
        </is>
      </c>
      <c r="F45" s="34" t="inlineStr">
        <is>
          <t>https://www.sec.gov/Archives/edgar/data/1835632/000183563226000011/0001835632-26-000011-index.htm</t>
        </is>
      </c>
    </row>
    <row r="46">
      <c r="B46" s="33" t="n">
        <v>38</v>
      </c>
      <c r="C46" s="15" t="inlineStr">
        <is>
          <t>INTC FY2025 10-K</t>
        </is>
      </c>
      <c r="D46" s="33" t="inlineStr">
        <is>
          <t>us-gaap:Depreciation · period ending 2025-12-27 · USD · filed 2026-01-23</t>
        </is>
      </c>
      <c r="E46" s="33" t="inlineStr">
        <is>
          <t>0000050863-26-000011</t>
        </is>
      </c>
      <c r="F46" s="34" t="inlineStr">
        <is>
          <t>https://www.sec.gov/Archives/edgar/data/50863/000005086326000011/0000050863-26-000011-index.htm</t>
        </is>
      </c>
    </row>
    <row r="47">
      <c r="B47" s="33" t="n">
        <v>39</v>
      </c>
      <c r="C47" s="15" t="inlineStr">
        <is>
          <t>NVDA FY2026 10-K</t>
        </is>
      </c>
      <c r="D47" s="33" t="inlineStr">
        <is>
          <t>us-gaap:NetIncomeLoss · period ending 2026-01-25 · USD · filed 2026-02-25</t>
        </is>
      </c>
      <c r="E47" s="33" t="inlineStr">
        <is>
          <t>0001045810-26-000021</t>
        </is>
      </c>
      <c r="F47" s="34" t="inlineStr">
        <is>
          <t>https://www.sec.gov/Archives/edgar/data/1045810/000104581026000021/0001045810-26-000021-index.htm</t>
        </is>
      </c>
    </row>
    <row r="48">
      <c r="B48" s="33" t="n">
        <v>40</v>
      </c>
      <c r="C48" s="15" t="inlineStr">
        <is>
          <t>AMD FY2025 10-K</t>
        </is>
      </c>
      <c r="D48" s="33" t="inlineStr">
        <is>
          <t>us-gaap:NetIncomeLoss · period ending 2025-12-27 · USD · filed 2026-02-04</t>
        </is>
      </c>
      <c r="E48" s="33" t="inlineStr">
        <is>
          <t>0000002488-26-000018</t>
        </is>
      </c>
      <c r="F48" s="34" t="inlineStr">
        <is>
          <t>https://www.sec.gov/Archives/edgar/data/2488/000000248826000018/0000002488-26-000018-index.htm</t>
        </is>
      </c>
    </row>
    <row r="49">
      <c r="B49" s="33" t="n">
        <v>41</v>
      </c>
      <c r="C49" s="15" t="inlineStr">
        <is>
          <t>AVGO FY2025 10-K</t>
        </is>
      </c>
      <c r="D49" s="33" t="inlineStr">
        <is>
          <t>us-gaap:ProfitLoss · period ending 2025-11-02 · USD · filed 2025-12-18</t>
        </is>
      </c>
      <c r="E49" s="33" t="inlineStr">
        <is>
          <t>0001730168-25-000121</t>
        </is>
      </c>
      <c r="F49" s="34" t="inlineStr">
        <is>
          <t>https://www.sec.gov/Archives/edgar/data/1730168/000173016825000121/0001730168-25-000121-index.htm</t>
        </is>
      </c>
    </row>
    <row r="50">
      <c r="B50" s="33" t="n">
        <v>42</v>
      </c>
      <c r="C50" s="15" t="inlineStr">
        <is>
          <t>MRVL FY2026 10-K</t>
        </is>
      </c>
      <c r="D50" s="33" t="inlineStr">
        <is>
          <t>us-gaap:NetIncomeLoss · period ending 2026-01-31 · USD · filed 2026-03-11</t>
        </is>
      </c>
      <c r="E50" s="33" t="inlineStr">
        <is>
          <t>0001835632-26-000011</t>
        </is>
      </c>
      <c r="F50" s="34" t="inlineStr">
        <is>
          <t>https://www.sec.gov/Archives/edgar/data/1835632/000183563226000011/0001835632-26-000011-index.htm</t>
        </is>
      </c>
    </row>
    <row r="51">
      <c r="B51" s="33" t="n">
        <v>43</v>
      </c>
      <c r="C51" s="15" t="inlineStr">
        <is>
          <t>INTC FY2025 10-K</t>
        </is>
      </c>
      <c r="D51" s="33" t="inlineStr">
        <is>
          <t>us-gaap:NetIncomeLoss · period ending 2025-12-27 · USD · filed 2026-01-23</t>
        </is>
      </c>
      <c r="E51" s="33" t="inlineStr">
        <is>
          <t>0000050863-26-000011</t>
        </is>
      </c>
      <c r="F51" s="34" t="inlineStr">
        <is>
          <t>https://www.sec.gov/Archives/edgar/data/50863/000005086326000011/0000050863-26-000011-index.htm</t>
        </is>
      </c>
    </row>
    <row r="52">
      <c r="B52" s="33" t="n">
        <v>44</v>
      </c>
      <c r="C52" s="15" t="inlineStr">
        <is>
          <t>NVDA FY2026 10-K</t>
        </is>
      </c>
      <c r="D52" s="33" t="inlineStr">
        <is>
          <t>us-gaap:EarningsPerShareDiluted · period ending 2026-01-25 · USD/shares · filed 2026-02-25</t>
        </is>
      </c>
      <c r="E52" s="33" t="inlineStr">
        <is>
          <t>0001045810-26-000021</t>
        </is>
      </c>
      <c r="F52" s="34" t="inlineStr">
        <is>
          <t>https://www.sec.gov/Archives/edgar/data/1045810/000104581026000021/0001045810-26-000021-index.htm</t>
        </is>
      </c>
    </row>
    <row r="53">
      <c r="B53" s="33" t="n">
        <v>45</v>
      </c>
      <c r="C53" s="15" t="inlineStr">
        <is>
          <t>AMD FY2025 10-K</t>
        </is>
      </c>
      <c r="D53" s="33" t="inlineStr">
        <is>
          <t>us-gaap:EarningsPerShareDiluted · period ending 2025-12-27 · USD/shares · filed 2026-02-04</t>
        </is>
      </c>
      <c r="E53" s="33" t="inlineStr">
        <is>
          <t>0000002488-26-000018</t>
        </is>
      </c>
      <c r="F53" s="34" t="inlineStr">
        <is>
          <t>https://www.sec.gov/Archives/edgar/data/2488/000000248826000018/0000002488-26-000018-index.htm</t>
        </is>
      </c>
    </row>
    <row r="54">
      <c r="B54" s="33" t="n">
        <v>46</v>
      </c>
      <c r="C54" s="15" t="inlineStr">
        <is>
          <t>AVGO FY2025 10-K</t>
        </is>
      </c>
      <c r="D54" s="33" t="inlineStr">
        <is>
          <t>us-gaap:EarningsPerShareDiluted · period ending 2025-11-02 · USD/shares · filed 2025-12-18</t>
        </is>
      </c>
      <c r="E54" s="33" t="inlineStr">
        <is>
          <t>0001730168-25-000121</t>
        </is>
      </c>
      <c r="F54" s="34" t="inlineStr">
        <is>
          <t>https://www.sec.gov/Archives/edgar/data/1730168/000173016825000121/0001730168-25-000121-index.htm</t>
        </is>
      </c>
    </row>
    <row r="55">
      <c r="B55" s="33" t="n">
        <v>47</v>
      </c>
      <c r="C55" s="15" t="inlineStr">
        <is>
          <t>MRVL FY2026 10-K</t>
        </is>
      </c>
      <c r="D55" s="33" t="inlineStr">
        <is>
          <t>us-gaap:EarningsPerShareDiluted · period ending 2026-01-31 · USD/shares · filed 2026-03-11</t>
        </is>
      </c>
      <c r="E55" s="33" t="inlineStr">
        <is>
          <t>0001835632-26-000011</t>
        </is>
      </c>
      <c r="F55" s="34" t="inlineStr">
        <is>
          <t>https://www.sec.gov/Archives/edgar/data/1835632/000183563226000011/0001835632-26-000011-index.htm</t>
        </is>
      </c>
    </row>
    <row r="56">
      <c r="B56" s="33" t="n">
        <v>48</v>
      </c>
      <c r="C56" s="15" t="inlineStr">
        <is>
          <t>INTC FY2025 10-K</t>
        </is>
      </c>
      <c r="D56" s="33" t="inlineStr">
        <is>
          <t>us-gaap:EarningsPerShareDiluted · period ending 2025-12-27 · USD/shares · filed 2026-01-23</t>
        </is>
      </c>
      <c r="E56" s="33" t="inlineStr">
        <is>
          <t>0000050863-26-000011</t>
        </is>
      </c>
      <c r="F56" s="34" t="inlineStr">
        <is>
          <t>https://www.sec.gov/Archives/edgar/data/50863/000005086326000011/0000050863-26-000011-index.htm</t>
        </is>
      </c>
    </row>
  </sheetData>
  <hyperlinks>
    <hyperlink xmlns:r="http://schemas.openxmlformats.org/officeDocument/2006/relationships" ref="F9" r:id="rId1"/>
    <hyperlink xmlns:r="http://schemas.openxmlformats.org/officeDocument/2006/relationships" ref="F10" r:id="rId2"/>
    <hyperlink xmlns:r="http://schemas.openxmlformats.org/officeDocument/2006/relationships" ref="F11" r:id="rId3"/>
    <hyperlink xmlns:r="http://schemas.openxmlformats.org/officeDocument/2006/relationships" ref="F12" r:id="rId4"/>
    <hyperlink xmlns:r="http://schemas.openxmlformats.org/officeDocument/2006/relationships" ref="F13" r:id="rId5"/>
    <hyperlink xmlns:r="http://schemas.openxmlformats.org/officeDocument/2006/relationships" ref="F14" r:id="rId6"/>
    <hyperlink xmlns:r="http://schemas.openxmlformats.org/officeDocument/2006/relationships" ref="F15" r:id="rId7"/>
    <hyperlink xmlns:r="http://schemas.openxmlformats.org/officeDocument/2006/relationships" ref="F16" r:id="rId8"/>
    <hyperlink xmlns:r="http://schemas.openxmlformats.org/officeDocument/2006/relationships" ref="F17" r:id="rId9"/>
    <hyperlink xmlns:r="http://schemas.openxmlformats.org/officeDocument/2006/relationships" ref="F18" r:id="rId10"/>
    <hyperlink xmlns:r="http://schemas.openxmlformats.org/officeDocument/2006/relationships" ref="F19" r:id="rId11"/>
    <hyperlink xmlns:r="http://schemas.openxmlformats.org/officeDocument/2006/relationships" ref="F20" r:id="rId12"/>
    <hyperlink xmlns:r="http://schemas.openxmlformats.org/officeDocument/2006/relationships" ref="F21" r:id="rId13"/>
    <hyperlink xmlns:r="http://schemas.openxmlformats.org/officeDocument/2006/relationships" ref="F22" r:id="rId14"/>
    <hyperlink xmlns:r="http://schemas.openxmlformats.org/officeDocument/2006/relationships" ref="F23" r:id="rId15"/>
    <hyperlink xmlns:r="http://schemas.openxmlformats.org/officeDocument/2006/relationships" ref="F24" r:id="rId16"/>
    <hyperlink xmlns:r="http://schemas.openxmlformats.org/officeDocument/2006/relationships" ref="F25" r:id="rId17"/>
    <hyperlink xmlns:r="http://schemas.openxmlformats.org/officeDocument/2006/relationships" ref="F26" r:id="rId18"/>
    <hyperlink xmlns:r="http://schemas.openxmlformats.org/officeDocument/2006/relationships" ref="F27" r:id="rId19"/>
    <hyperlink xmlns:r="http://schemas.openxmlformats.org/officeDocument/2006/relationships" ref="F28" r:id="rId20"/>
    <hyperlink xmlns:r="http://schemas.openxmlformats.org/officeDocument/2006/relationships" ref="F29" r:id="rId21"/>
    <hyperlink xmlns:r="http://schemas.openxmlformats.org/officeDocument/2006/relationships" ref="F30" r:id="rId22"/>
    <hyperlink xmlns:r="http://schemas.openxmlformats.org/officeDocument/2006/relationships" ref="F31" r:id="rId23"/>
    <hyperlink xmlns:r="http://schemas.openxmlformats.org/officeDocument/2006/relationships" ref="F32" r:id="rId24"/>
    <hyperlink xmlns:r="http://schemas.openxmlformats.org/officeDocument/2006/relationships" ref="F33" r:id="rId25"/>
    <hyperlink xmlns:r="http://schemas.openxmlformats.org/officeDocument/2006/relationships" ref="F34" r:id="rId26"/>
    <hyperlink xmlns:r="http://schemas.openxmlformats.org/officeDocument/2006/relationships" ref="F35" r:id="rId27"/>
    <hyperlink xmlns:r="http://schemas.openxmlformats.org/officeDocument/2006/relationships" ref="F36" r:id="rId28"/>
    <hyperlink xmlns:r="http://schemas.openxmlformats.org/officeDocument/2006/relationships" ref="F37" r:id="rId29"/>
    <hyperlink xmlns:r="http://schemas.openxmlformats.org/officeDocument/2006/relationships" ref="F38" r:id="rId30"/>
    <hyperlink xmlns:r="http://schemas.openxmlformats.org/officeDocument/2006/relationships" ref="F39" r:id="rId31"/>
    <hyperlink xmlns:r="http://schemas.openxmlformats.org/officeDocument/2006/relationships" ref="F40" r:id="rId32"/>
    <hyperlink xmlns:r="http://schemas.openxmlformats.org/officeDocument/2006/relationships" ref="F41" r:id="rId33"/>
    <hyperlink xmlns:r="http://schemas.openxmlformats.org/officeDocument/2006/relationships" ref="F42" r:id="rId34"/>
    <hyperlink xmlns:r="http://schemas.openxmlformats.org/officeDocument/2006/relationships" ref="F43" r:id="rId35"/>
    <hyperlink xmlns:r="http://schemas.openxmlformats.org/officeDocument/2006/relationships" ref="F44" r:id="rId36"/>
    <hyperlink xmlns:r="http://schemas.openxmlformats.org/officeDocument/2006/relationships" ref="F45" r:id="rId37"/>
    <hyperlink xmlns:r="http://schemas.openxmlformats.org/officeDocument/2006/relationships" ref="F46" r:id="rId38"/>
    <hyperlink xmlns:r="http://schemas.openxmlformats.org/officeDocument/2006/relationships" ref="F47" r:id="rId39"/>
    <hyperlink xmlns:r="http://schemas.openxmlformats.org/officeDocument/2006/relationships" ref="F48" r:id="rId40"/>
    <hyperlink xmlns:r="http://schemas.openxmlformats.org/officeDocument/2006/relationships" ref="F49" r:id="rId41"/>
    <hyperlink xmlns:r="http://schemas.openxmlformats.org/officeDocument/2006/relationships" ref="F50" r:id="rId42"/>
    <hyperlink xmlns:r="http://schemas.openxmlformats.org/officeDocument/2006/relationships" ref="F51" r:id="rId43"/>
    <hyperlink xmlns:r="http://schemas.openxmlformats.org/officeDocument/2006/relationships" ref="F52" r:id="rId44"/>
    <hyperlink xmlns:r="http://schemas.openxmlformats.org/officeDocument/2006/relationships" ref="F53" r:id="rId45"/>
    <hyperlink xmlns:r="http://schemas.openxmlformats.org/officeDocument/2006/relationships" ref="F54" r:id="rId46"/>
    <hyperlink xmlns:r="http://schemas.openxmlformats.org/officeDocument/2006/relationships" ref="F55" r:id="rId47"/>
    <hyperlink xmlns:r="http://schemas.openxmlformats.org/officeDocument/2006/relationships" ref="F56" r:id="rId48"/>
  </hyperlinks>
  <pageMargins left="0.75" right="0.75" top="1" bottom="1" header="0.5" footer="0.5"/>
  <drawing xmlns:r="http://schemas.openxmlformats.org/officeDocument/2006/relationships" r:id="rId4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2026-10-15T12:05:53Z</dcterms:created>
  <dcterms:modified xsi:type="dcterms:W3CDTF">2026-10-15T12:05:53Z</dcterms:modified>
</cp:coreProperties>
</file>