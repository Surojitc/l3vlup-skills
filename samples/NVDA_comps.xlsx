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s" sheetId="1" state="visible" r:id="rId1"/>
    <sheet name="Inclusion" sheetId="2" state="visible" r:id="rId2"/>
    <sheet name="Sources" sheetId="3" state="visible" r:id="rId3"/>
  </sheets>
  <definedNames>
    <definedName name="_xlnm.Print_Area" localSheetId="0">'Comps'!$B$2:$J$62</definedName>
    <definedName name="_xlnm.Print_Area" localSheetId="1">'Inclusion'!$B$2:$F$39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_);\(0.00\)"/>
    <numFmt numFmtId="165" formatCode="#,##0,,_);\(#,##0,,\)"/>
    <numFmt numFmtId="166" formatCode="&quot;$&quot;#,##0,,_);\(&quot;$&quot;#,##0,,\)"/>
    <numFmt numFmtId="167" formatCode="0.0%_);\(0.0%\)"/>
    <numFmt numFmtId="168" formatCode="0.0&quot;x&quot;"/>
  </numFmts>
  <fonts count="18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808080"/>
      <sz val="10"/>
    </font>
    <font>
      <color rgb="FF0000FF"/>
      <sz val="10"/>
    </font>
    <font>
      <color rgb="FF808080"/>
      <sz val="8"/>
    </font>
    <font>
      <b val="1"/>
      <sz val="10"/>
    </font>
    <font>
      <i val="1"/>
      <color rgb="FF808080"/>
      <sz val="10"/>
    </font>
    <font>
      <i val="1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" fillId="0" borderId="1" applyAlignment="1" pivotButton="0" quotePrefix="0" xfId="0">
      <alignment horizontal="right"/>
    </xf>
    <xf numFmtId="0" fontId="14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4" fillId="2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5" fontId="4" fillId="0" borderId="0" pivotButton="0" quotePrefix="0" xfId="0"/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166" fontId="6" fillId="0" borderId="0" pivotButton="0" quotePrefix="0" xfId="0"/>
    <xf numFmtId="166" fontId="3" fillId="0" borderId="0" applyAlignment="1" pivotButton="0" quotePrefix="0" xfId="0">
      <alignment horizontal="right"/>
    </xf>
    <xf numFmtId="166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7" fontId="8" fillId="0" borderId="0" pivotButton="0" quotePrefix="0" xfId="0"/>
    <xf numFmtId="164" fontId="3" fillId="0" borderId="0" applyAlignment="1" pivotButton="0" quotePrefix="0" xfId="0">
      <alignment horizontal="right"/>
    </xf>
    <xf numFmtId="164" fontId="4" fillId="0" borderId="0" pivotButton="0" quotePrefix="0" xfId="0"/>
    <xf numFmtId="168" fontId="2" fillId="0" borderId="0" pivotButton="0" quotePrefix="0" xfId="0"/>
    <xf numFmtId="166" fontId="4" fillId="2" borderId="0" applyAlignment="1" pivotButton="0" quotePrefix="0" xfId="0">
      <alignment horizontal="right"/>
    </xf>
    <xf numFmtId="168" fontId="8" fillId="0" borderId="0" pivotButton="0" quotePrefix="0" xfId="0"/>
    <xf numFmtId="168" fontId="3" fillId="0" borderId="0" applyAlignment="1" pivotButton="0" quotePrefix="0" xfId="0">
      <alignment horizontal="right"/>
    </xf>
    <xf numFmtId="0" fontId="9" fillId="0" borderId="0" pivotButton="0" quotePrefix="0" xfId="0"/>
    <xf numFmtId="0" fontId="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2488/000000248826000018/0000002488-26-000018-index.htm" TargetMode="External" Id="rId1" /><Relationship Type="http://schemas.openxmlformats.org/officeDocument/2006/relationships/hyperlink" Target="https://www.sec.gov/Archives/edgar/data/1730168/000173016825000121/0001730168-25-000121-index.htm" TargetMode="External" Id="rId2" /><Relationship Type="http://schemas.openxmlformats.org/officeDocument/2006/relationships/hyperlink" Target="https://www.sec.gov/Archives/edgar/data/1835632/000183563226000011/0001835632-26-000011-index.htm" TargetMode="External" Id="rId3" /><Relationship Type="http://schemas.openxmlformats.org/officeDocument/2006/relationships/hyperlink" Target="https://www.sec.gov/Archives/edgar/data/50863/000005086326000011/0000050863-26-000011-index.htm" TargetMode="External" Id="rId4" /><Relationship Type="http://schemas.openxmlformats.org/officeDocument/2006/relationships/hyperlink" Target="https://www.sec.gov/Archives/edgar/data/2488/000000248826000018/0000002488-26-000018-index.htm" TargetMode="External" Id="rId5" /><Relationship Type="http://schemas.openxmlformats.org/officeDocument/2006/relationships/hyperlink" Target="https://www.sec.gov/Archives/edgar/data/1730168/000173016825000121/0001730168-25-000121-index.htm" TargetMode="External" Id="rId6" /><Relationship Type="http://schemas.openxmlformats.org/officeDocument/2006/relationships/hyperlink" Target="https://www.sec.gov/Archives/edgar/data/1835632/000183563226000011/0001835632-26-000011-index.htm" TargetMode="External" Id="rId7" /><Relationship Type="http://schemas.openxmlformats.org/officeDocument/2006/relationships/hyperlink" Target="https://www.sec.gov/Archives/edgar/data/50863/000005086326000011/0000050863-26-000011-index.htm" TargetMode="External" Id="rId8" /><Relationship Type="http://schemas.openxmlformats.org/officeDocument/2006/relationships/hyperlink" Target="https://www.sec.gov/Archives/edgar/data/2488/000000248826000018/0000002488-26-000018-index.htm" TargetMode="External" Id="rId9" /><Relationship Type="http://schemas.openxmlformats.org/officeDocument/2006/relationships/hyperlink" Target="https://www.sec.gov/Archives/edgar/data/1730168/000173016825000121/0001730168-25-000121-index.htm" TargetMode="External" Id="rId10" /><Relationship Type="http://schemas.openxmlformats.org/officeDocument/2006/relationships/hyperlink" Target="https://www.sec.gov/Archives/edgar/data/1835632/000183563226000011/0001835632-26-000011-index.htm" TargetMode="External" Id="rId11" /><Relationship Type="http://schemas.openxmlformats.org/officeDocument/2006/relationships/hyperlink" Target="https://www.sec.gov/Archives/edgar/data/50863/000005086326000011/0000050863-26-000011-index.htm" TargetMode="External" Id="rId12" /><Relationship Type="http://schemas.openxmlformats.org/officeDocument/2006/relationships/hyperlink" Target="https://www.sec.gov/Archives/edgar/data/2488/000000248826000018/0000002488-26-000018-index.htm" TargetMode="External" Id="rId13" /><Relationship Type="http://schemas.openxmlformats.org/officeDocument/2006/relationships/hyperlink" Target="https://www.sec.gov/Archives/edgar/data/50863/000005086326000011/0000050863-26-000011-index.htm" TargetMode="External" Id="rId14" /><Relationship Type="http://schemas.openxmlformats.org/officeDocument/2006/relationships/hyperlink" Target="https://www.sec.gov/Archives/edgar/data/1045810/000104581022000036/0001045810-22-000036-index.htm" TargetMode="External" Id="rId15" /><Relationship Type="http://schemas.openxmlformats.org/officeDocument/2006/relationships/hyperlink" Target="https://www.sec.gov/Archives/edgar/data/2488/000000248826000018/0000002488-26-000018-index.htm" TargetMode="External" Id="rId16" /><Relationship Type="http://schemas.openxmlformats.org/officeDocument/2006/relationships/hyperlink" Target="https://www.sec.gov/Archives/edgar/data/1730168/000173016825000121/0001730168-25-000121-index.htm" TargetMode="External" Id="rId17" /><Relationship Type="http://schemas.openxmlformats.org/officeDocument/2006/relationships/hyperlink" Target="https://www.sec.gov/Archives/edgar/data/1835632/000183563226000011/0001835632-26-000011-index.htm" TargetMode="External" Id="rId18" /><Relationship Type="http://schemas.openxmlformats.org/officeDocument/2006/relationships/hyperlink" Target="https://www.sec.gov/Archives/edgar/data/50863/000005086326000011/0000050863-26-000011-index.htm" TargetMode="External" Id="rId19" /><Relationship Type="http://schemas.openxmlformats.org/officeDocument/2006/relationships/hyperlink" Target="https://www.sec.gov/Archives/edgar/data/2488/000000248826000018/0000002488-26-000018-index.htm" TargetMode="External" Id="rId20" /><Relationship Type="http://schemas.openxmlformats.org/officeDocument/2006/relationships/hyperlink" Target="https://www.sec.gov/Archives/edgar/data/1730168/000173016825000121/0001730168-25-000121-index.htm" TargetMode="External" Id="rId21" /><Relationship Type="http://schemas.openxmlformats.org/officeDocument/2006/relationships/hyperlink" Target="https://www.sec.gov/Archives/edgar/data/1835632/000183563226000011/0001835632-26-000011-index.htm" TargetMode="External" Id="rId22" /><Relationship Type="http://schemas.openxmlformats.org/officeDocument/2006/relationships/hyperlink" Target="https://www.sec.gov/Archives/edgar/data/50863/000005086326000011/0000050863-26-000011-index.htm" TargetMode="External" Id="rId23" /><Relationship Type="http://schemas.openxmlformats.org/officeDocument/2006/relationships/hyperlink" Target="https://www.sec.gov/Archives/edgar/data/2488/000000248826000018/0000002488-26-000018-index.htm" TargetMode="External" Id="rId24" /><Relationship Type="http://schemas.openxmlformats.org/officeDocument/2006/relationships/hyperlink" Target="https://www.sec.gov/Archives/edgar/data/1730168/000173016825000121/0001730168-25-000121-index.htm" TargetMode="External" Id="rId25" /><Relationship Type="http://schemas.openxmlformats.org/officeDocument/2006/relationships/hyperlink" Target="https://www.sec.gov/Archives/edgar/data/1835632/000183563226000011/0001835632-26-000011-index.htm" TargetMode="External" Id="rId26" /><Relationship Type="http://schemas.openxmlformats.org/officeDocument/2006/relationships/hyperlink" Target="https://www.sec.gov/Archives/edgar/data/50863/000005086326000011/0000050863-26-000011-index.htm" TargetMode="External" Id="rId27" /><Relationship Type="http://schemas.openxmlformats.org/officeDocument/2006/relationships/hyperlink" Target="https://www.sec.gov/Archives/edgar/data/2488/000000248826000018/0000002488-26-000018-index.htm" TargetMode="External" Id="rId28" /><Relationship Type="http://schemas.openxmlformats.org/officeDocument/2006/relationships/hyperlink" Target="https://www.sec.gov/Archives/edgar/data/1730168/000173016824000139/0001730168-24-000139-index.htm" TargetMode="External" Id="rId29" /><Relationship Type="http://schemas.openxmlformats.org/officeDocument/2006/relationships/hyperlink" Target="https://www.sec.gov/Archives/edgar/data/1835632/000183563226000011/0001835632-26-000011-index.htm" TargetMode="External" Id="rId30" /><Relationship Type="http://schemas.openxmlformats.org/officeDocument/2006/relationships/hyperlink" Target="https://www.sec.gov/Archives/edgar/data/50863/000005086326000011/0000050863-26-000011-index.htm" TargetMode="External" Id="rId31" /><Relationship Type="http://schemas.openxmlformats.org/officeDocument/2006/relationships/hyperlink" Target="https://www.sec.gov/Archives/edgar/data/2488/000000248826000018/0000002488-26-000018-index.htm" TargetMode="External" Id="rId32" /><Relationship Type="http://schemas.openxmlformats.org/officeDocument/2006/relationships/hyperlink" Target="https://www.sec.gov/Archives/edgar/data/1730168/000173016825000121/0001730168-25-000121-index.htm" TargetMode="External" Id="rId33" /><Relationship Type="http://schemas.openxmlformats.org/officeDocument/2006/relationships/hyperlink" Target="https://www.sec.gov/Archives/edgar/data/1835632/000183563226000011/0001835632-26-000011-index.htm" TargetMode="External" Id="rId34" /><Relationship Type="http://schemas.openxmlformats.org/officeDocument/2006/relationships/hyperlink" Target="https://www.sec.gov/Archives/edgar/data/50863/000005086326000011/0000050863-26-000011-index.htm" TargetMode="External" Id="rId3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6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NVDA comparable companies</t>
        </is>
      </c>
    </row>
    <row r="3">
      <c r="B3" s="2" t="inlineStr">
        <is>
          <t>Trading comparables</t>
        </is>
      </c>
    </row>
    <row r="4">
      <c r="B4" s="3" t="inlineStr">
        <is>
          <t>Fundamentals from SEC filings · price and forward consensus are your inputs, shaded</t>
        </is>
      </c>
    </row>
    <row r="5">
      <c r="B5" s="3" t="inlineStr">
        <is>
          <t>($ in millions, except per share)</t>
        </is>
      </c>
      <c r="D5" s="4" t="inlineStr">
        <is>
          <t>Comparable companies</t>
        </is>
      </c>
    </row>
    <row r="6">
      <c r="D6" s="5" t="inlineStr">
        <is>
          <t>NVDA</t>
        </is>
      </c>
      <c r="E6" s="5" t="inlineStr">
        <is>
          <t>AMD</t>
        </is>
      </c>
      <c r="F6" s="5" t="inlineStr">
        <is>
          <t>AVGO</t>
        </is>
      </c>
      <c r="G6" s="5" t="inlineStr">
        <is>
          <t>MRVL</t>
        </is>
      </c>
      <c r="H6" s="5" t="inlineStr">
        <is>
          <t>INTC</t>
        </is>
      </c>
      <c r="J6" s="6" t="inlineStr">
        <is>
          <t>Src</t>
        </is>
      </c>
    </row>
    <row r="7">
      <c r="B7" s="7" t="inlineStr">
        <is>
          <t>Market</t>
        </is>
      </c>
      <c r="D7" s="8" t="n"/>
      <c r="E7" s="8" t="n"/>
      <c r="F7" s="8" t="n"/>
      <c r="G7" s="8" t="n"/>
      <c r="H7" s="8" t="n"/>
    </row>
    <row r="8">
      <c r="B8" s="9" t="inlineStr">
        <is>
          <t>Share price (input)</t>
        </is>
      </c>
      <c r="D8" s="10" t="inlineStr">
        <is>
          <t>—</t>
        </is>
      </c>
      <c r="E8" s="10" t="inlineStr">
        <is>
          <t>—</t>
        </is>
      </c>
      <c r="F8" s="10" t="inlineStr">
        <is>
          <t>—</t>
        </is>
      </c>
      <c r="G8" s="10" t="inlineStr">
        <is>
          <t>—</t>
        </is>
      </c>
      <c r="H8" s="10" t="inlineStr">
        <is>
          <t>—</t>
        </is>
      </c>
    </row>
    <row r="9">
      <c r="B9" s="9" t="inlineStr">
        <is>
          <t>Diluted shares outstanding</t>
        </is>
      </c>
      <c r="D9" s="11" t="inlineStr">
        <is>
          <t>—</t>
        </is>
      </c>
      <c r="E9" s="12" t="n">
        <v>1636000000</v>
      </c>
      <c r="F9" s="12" t="n">
        <v>4853000000</v>
      </c>
      <c r="G9" s="12" t="n">
        <v>869700000</v>
      </c>
      <c r="H9" s="12" t="n">
        <v>4530000000</v>
      </c>
      <c r="J9" s="13" t="inlineStr">
        <is>
          <t>[1][2][3][4]</t>
        </is>
      </c>
    </row>
    <row r="10">
      <c r="B10" s="14" t="inlineStr">
        <is>
          <t>Market capitalisation</t>
        </is>
      </c>
      <c r="D10" s="15">
        <f>IFERROR(D8*D9,"")</f>
        <v/>
      </c>
      <c r="E10" s="15">
        <f>IFERROR(E8*E9,"")</f>
        <v/>
      </c>
      <c r="F10" s="15">
        <f>IFERROR(F8*F9,"")</f>
        <v/>
      </c>
      <c r="G10" s="15">
        <f>IFERROR(G8*G9,"")</f>
        <v/>
      </c>
      <c r="H10" s="15">
        <f>IFERROR(H8*H9,"")</f>
        <v/>
      </c>
    </row>
    <row r="12">
      <c r="B12" s="7" t="inlineStr">
        <is>
          <t>Capital structure (as filed)</t>
        </is>
      </c>
      <c r="D12" s="8" t="n"/>
      <c r="E12" s="8" t="n"/>
      <c r="F12" s="8" t="n"/>
      <c r="G12" s="8" t="n"/>
      <c r="H12" s="8" t="n"/>
    </row>
    <row r="13">
      <c r="B13" s="9" t="inlineStr">
        <is>
          <t>Total debt</t>
        </is>
      </c>
      <c r="D13" s="16" t="inlineStr">
        <is>
          <t>—</t>
        </is>
      </c>
      <c r="E13" s="17" t="n">
        <v>3222000000</v>
      </c>
      <c r="F13" s="17" t="n">
        <v>3152000000</v>
      </c>
      <c r="G13" s="17" t="n">
        <v>3970800000</v>
      </c>
      <c r="H13" s="17" t="n">
        <v>46585000000</v>
      </c>
      <c r="J13" s="13" t="inlineStr">
        <is>
          <t>[5][6][7][8]</t>
        </is>
      </c>
    </row>
    <row r="14">
      <c r="B14" s="9" t="inlineStr">
        <is>
          <t>Cash and equivalents</t>
        </is>
      </c>
      <c r="D14" s="16" t="inlineStr">
        <is>
          <t>—</t>
        </is>
      </c>
      <c r="E14" s="17" t="n">
        <v>5539000000</v>
      </c>
      <c r="F14" s="17" t="n">
        <v>16178000000</v>
      </c>
      <c r="G14" s="17" t="n">
        <v>2638800000</v>
      </c>
      <c r="H14" s="17" t="n">
        <v>14265000000</v>
      </c>
      <c r="J14" s="13" t="inlineStr">
        <is>
          <t>[9][10][11][12]</t>
        </is>
      </c>
    </row>
    <row r="15">
      <c r="B15" s="9" t="inlineStr">
        <is>
          <t>Short-term investments</t>
        </is>
      </c>
      <c r="D15" s="16" t="inlineStr">
        <is>
          <t>—</t>
        </is>
      </c>
      <c r="E15" s="17" t="n">
        <v>5013000000</v>
      </c>
      <c r="F15" s="16" t="inlineStr">
        <is>
          <t>—</t>
        </is>
      </c>
      <c r="G15" s="16" t="inlineStr">
        <is>
          <t>—</t>
        </is>
      </c>
      <c r="H15" s="17" t="n">
        <v>23151000000</v>
      </c>
      <c r="J15" s="13" t="inlineStr">
        <is>
          <t>[13][14]</t>
        </is>
      </c>
    </row>
    <row r="16">
      <c r="B16" s="14" t="inlineStr">
        <is>
          <t>Net debt / (net cash)</t>
        </is>
      </c>
      <c r="D16" s="15">
        <f>IFERROR(D13-D14-D15,"")</f>
        <v/>
      </c>
      <c r="E16" s="15">
        <f>IFERROR(E13-E14-E15,"")</f>
        <v/>
      </c>
      <c r="F16" s="15">
        <f>IFERROR(F13-F14-F15,"")</f>
        <v/>
      </c>
      <c r="G16" s="15">
        <f>IFERROR(G13-G14-G15,"")</f>
        <v/>
      </c>
      <c r="H16" s="15">
        <f>IFERROR(H13-H14-H15,"")</f>
        <v/>
      </c>
    </row>
    <row r="17">
      <c r="B17" s="14" t="inlineStr">
        <is>
          <t>Enterprise value</t>
        </is>
      </c>
      <c r="D17" s="15">
        <f>IFERROR(D10+D16,"")</f>
        <v/>
      </c>
      <c r="E17" s="15">
        <f>IFERROR(E10+E16,"")</f>
        <v/>
      </c>
      <c r="F17" s="15">
        <f>IFERROR(F10+F16,"")</f>
        <v/>
      </c>
      <c r="G17" s="15">
        <f>IFERROR(G10+G16,"")</f>
        <v/>
      </c>
      <c r="H17" s="15">
        <f>IFERROR(H10+H16,"")</f>
        <v/>
      </c>
    </row>
    <row r="19">
      <c r="B19" s="7" t="inlineStr">
        <is>
          <t>Operating (latest fiscal year as filed)</t>
        </is>
      </c>
      <c r="D19" s="8" t="n"/>
      <c r="E19" s="8" t="n"/>
      <c r="F19" s="8" t="n"/>
      <c r="G19" s="8" t="n"/>
      <c r="H19" s="8" t="n"/>
    </row>
    <row r="20">
      <c r="B20" s="18" t="inlineStr">
        <is>
          <t>Fiscal year end</t>
        </is>
      </c>
      <c r="D20" s="19" t="inlineStr">
        <is>
          <t>Jan</t>
        </is>
      </c>
      <c r="E20" s="19" t="inlineStr">
        <is>
          <t>Dec</t>
        </is>
      </c>
      <c r="F20" s="19" t="inlineStr">
        <is>
          <t>Nov</t>
        </is>
      </c>
      <c r="G20" s="19" t="inlineStr">
        <is>
          <t>Jan</t>
        </is>
      </c>
      <c r="H20" s="19" t="inlineStr">
        <is>
          <t>Dec</t>
        </is>
      </c>
    </row>
    <row r="21">
      <c r="B21" s="18" t="inlineStr">
        <is>
          <t>Period covered</t>
        </is>
      </c>
      <c r="D21" s="19" t="inlineStr">
        <is>
          <t>FY2022</t>
        </is>
      </c>
      <c r="E21" s="19" t="inlineStr">
        <is>
          <t>FY2025</t>
        </is>
      </c>
      <c r="F21" s="19" t="inlineStr">
        <is>
          <t>FY2025</t>
        </is>
      </c>
      <c r="G21" s="19" t="inlineStr">
        <is>
          <t>FY2026</t>
        </is>
      </c>
      <c r="H21" s="19" t="inlineStr">
        <is>
          <t>FY2025</t>
        </is>
      </c>
    </row>
    <row r="22">
      <c r="B22" s="9" t="inlineStr">
        <is>
          <t>Revenue</t>
        </is>
      </c>
      <c r="D22" s="17" t="n">
        <v>26914000000</v>
      </c>
      <c r="E22" s="17" t="n">
        <v>34639000000</v>
      </c>
      <c r="F22" s="17" t="n">
        <v>63887000000</v>
      </c>
      <c r="G22" s="17" t="n">
        <v>8194600000</v>
      </c>
      <c r="H22" s="17" t="n">
        <v>52853000000</v>
      </c>
      <c r="J22" s="13" t="inlineStr">
        <is>
          <t>[15][16][17][18][19]</t>
        </is>
      </c>
    </row>
    <row r="23">
      <c r="B23" s="9" t="inlineStr">
        <is>
          <t>Gross profit</t>
        </is>
      </c>
      <c r="D23" s="16" t="inlineStr">
        <is>
          <t>—</t>
        </is>
      </c>
      <c r="E23" s="17" t="n">
        <v>17152000000</v>
      </c>
      <c r="F23" s="17" t="n">
        <v>43294000000</v>
      </c>
      <c r="G23" s="17" t="n">
        <v>4180700000</v>
      </c>
      <c r="H23" s="17" t="n">
        <v>18375000000</v>
      </c>
      <c r="J23" s="13" t="inlineStr">
        <is>
          <t>[20][21][22][23]</t>
        </is>
      </c>
    </row>
    <row r="24">
      <c r="B24" s="18" t="inlineStr">
        <is>
          <t xml:space="preserve">    % gross margin</t>
        </is>
      </c>
      <c r="D24" s="20">
        <f>IFERROR(D23/D22,"")</f>
        <v/>
      </c>
      <c r="E24" s="20">
        <f>IFERROR(E23/E22,"")</f>
        <v/>
      </c>
      <c r="F24" s="20">
        <f>IFERROR(F23/F22,"")</f>
        <v/>
      </c>
      <c r="G24" s="20">
        <f>IFERROR(G23/G22,"")</f>
        <v/>
      </c>
      <c r="H24" s="20">
        <f>IFERROR(H23/H22,"")</f>
        <v/>
      </c>
    </row>
    <row r="25">
      <c r="B25" s="9" t="inlineStr">
        <is>
          <t>Operating income</t>
        </is>
      </c>
      <c r="D25" s="16" t="inlineStr">
        <is>
          <t>—</t>
        </is>
      </c>
      <c r="E25" s="17" t="n">
        <v>3694000000</v>
      </c>
      <c r="F25" s="17" t="n">
        <v>25484000000</v>
      </c>
      <c r="G25" s="17" t="n">
        <v>1322900000</v>
      </c>
      <c r="H25" s="17" t="n">
        <v>-2214000000</v>
      </c>
      <c r="J25" s="13" t="inlineStr">
        <is>
          <t>[24][25][26][27]</t>
        </is>
      </c>
    </row>
    <row r="26">
      <c r="B26" s="9" t="inlineStr">
        <is>
          <t>Depreciation and amortisation</t>
        </is>
      </c>
      <c r="D26" s="16" t="inlineStr">
        <is>
          <t>—</t>
        </is>
      </c>
      <c r="E26" s="16" t="inlineStr">
        <is>
          <t>—</t>
        </is>
      </c>
      <c r="F26" s="16" t="inlineStr">
        <is>
          <t>—</t>
        </is>
      </c>
      <c r="G26" s="16" t="inlineStr">
        <is>
          <t>—</t>
        </is>
      </c>
      <c r="H26" s="16" t="inlineStr">
        <is>
          <t>—</t>
        </is>
      </c>
    </row>
    <row r="27">
      <c r="B27" s="14" t="inlineStr">
        <is>
          <t>EBITDA</t>
        </is>
      </c>
      <c r="D27" s="15">
        <f>IFERROR(D25+D26,"")</f>
        <v/>
      </c>
      <c r="E27" s="15">
        <f>IFERROR(E25+E26,"")</f>
        <v/>
      </c>
      <c r="F27" s="15">
        <f>IFERROR(F25+F26,"")</f>
        <v/>
      </c>
      <c r="G27" s="15">
        <f>IFERROR(G25+G26,"")</f>
        <v/>
      </c>
      <c r="H27" s="15">
        <f>IFERROR(H25+H26,"")</f>
        <v/>
      </c>
    </row>
    <row r="28">
      <c r="B28" s="18" t="inlineStr">
        <is>
          <t xml:space="preserve">    % EBITDA margin</t>
        </is>
      </c>
      <c r="D28" s="20">
        <f>IFERROR(D27/D22,"")</f>
        <v/>
      </c>
      <c r="E28" s="20">
        <f>IFERROR(E27/E22,"")</f>
        <v/>
      </c>
      <c r="F28" s="20">
        <f>IFERROR(F27/F22,"")</f>
        <v/>
      </c>
      <c r="G28" s="20">
        <f>IFERROR(G27/G22,"")</f>
        <v/>
      </c>
      <c r="H28" s="20">
        <f>IFERROR(H27/H22,"")</f>
        <v/>
      </c>
    </row>
    <row r="29">
      <c r="B29" s="9" t="inlineStr">
        <is>
          <t>Net income</t>
        </is>
      </c>
      <c r="D29" s="16" t="inlineStr">
        <is>
          <t>—</t>
        </is>
      </c>
      <c r="E29" s="17" t="n">
        <v>4335000000</v>
      </c>
      <c r="F29" s="17" t="n">
        <v>5895000000</v>
      </c>
      <c r="G29" s="17" t="n">
        <v>2670100000</v>
      </c>
      <c r="H29" s="17" t="n">
        <v>-267000000</v>
      </c>
      <c r="J29" s="13" t="inlineStr">
        <is>
          <t>[28][29][30][31]</t>
        </is>
      </c>
    </row>
    <row r="30">
      <c r="B30" s="9" t="inlineStr">
        <is>
          <t>Diluted EPS</t>
        </is>
      </c>
      <c r="D30" s="21" t="inlineStr">
        <is>
          <t>—</t>
        </is>
      </c>
      <c r="E30" s="22" t="n">
        <v>2.65</v>
      </c>
      <c r="F30" s="22" t="n">
        <v>4.77</v>
      </c>
      <c r="G30" s="22" t="n">
        <v>3.07</v>
      </c>
      <c r="H30" s="22" t="n">
        <v>-0.06</v>
      </c>
      <c r="J30" s="13" t="inlineStr">
        <is>
          <t>[32][33][34][35]</t>
        </is>
      </c>
    </row>
    <row r="32">
      <c r="B32" s="7" t="inlineStr">
        <is>
          <t>Trailing multiples</t>
        </is>
      </c>
      <c r="D32" s="8" t="n"/>
      <c r="E32" s="8" t="n"/>
      <c r="F32" s="8" t="n"/>
      <c r="G32" s="8" t="n"/>
      <c r="H32" s="8" t="n"/>
    </row>
    <row r="33">
      <c r="B33" s="9" t="inlineStr">
        <is>
          <t>EV / Revenue</t>
        </is>
      </c>
      <c r="D33" s="23">
        <f>IFERROR(D17/D22,"")</f>
        <v/>
      </c>
      <c r="E33" s="23">
        <f>IFERROR(E17/E22,"")</f>
        <v/>
      </c>
      <c r="F33" s="23">
        <f>IFERROR(F17/F22,"")</f>
        <v/>
      </c>
      <c r="G33" s="23">
        <f>IFERROR(G17/G22,"")</f>
        <v/>
      </c>
      <c r="H33" s="23">
        <f>IFERROR(H17/H22,"")</f>
        <v/>
      </c>
    </row>
    <row r="34">
      <c r="B34" s="9" t="inlineStr">
        <is>
          <t>EV / EBITDA</t>
        </is>
      </c>
      <c r="D34" s="23">
        <f>IFERROR(D17/D27,"")</f>
        <v/>
      </c>
      <c r="E34" s="23">
        <f>IFERROR(E17/E27,"")</f>
        <v/>
      </c>
      <c r="F34" s="23">
        <f>IFERROR(F17/F27,"")</f>
        <v/>
      </c>
      <c r="G34" s="23">
        <f>IFERROR(G17/G27,"")</f>
        <v/>
      </c>
      <c r="H34" s="23">
        <f>IFERROR(H17/H27,"")</f>
        <v/>
      </c>
    </row>
    <row r="35">
      <c r="B35" s="9" t="inlineStr">
        <is>
          <t>P / E</t>
        </is>
      </c>
      <c r="D35" s="23">
        <f>IFERROR(D8/D30,"")</f>
        <v/>
      </c>
      <c r="E35" s="23">
        <f>IFERROR(E8/E30,"")</f>
        <v/>
      </c>
      <c r="F35" s="23">
        <f>IFERROR(F8/F30,"")</f>
        <v/>
      </c>
      <c r="G35" s="23">
        <f>IFERROR(G8/G30,"")</f>
        <v/>
      </c>
      <c r="H35" s="23">
        <f>IFERROR(H8/H30,"")</f>
        <v/>
      </c>
    </row>
    <row r="37">
      <c r="B37" s="7" t="inlineStr">
        <is>
          <t>Forward consensus (your input — not from filings)</t>
        </is>
      </c>
      <c r="D37" s="8" t="n"/>
      <c r="E37" s="8" t="n"/>
      <c r="F37" s="8" t="n"/>
      <c r="G37" s="8" t="n"/>
      <c r="H37" s="8" t="n"/>
    </row>
    <row r="38">
      <c r="B38" s="9" t="inlineStr">
        <is>
          <t>NTM revenue (input)</t>
        </is>
      </c>
      <c r="D38" s="24" t="inlineStr">
        <is>
          <t>—</t>
        </is>
      </c>
      <c r="E38" s="24" t="inlineStr">
        <is>
          <t>—</t>
        </is>
      </c>
      <c r="F38" s="24" t="inlineStr">
        <is>
          <t>—</t>
        </is>
      </c>
      <c r="G38" s="24" t="inlineStr">
        <is>
          <t>—</t>
        </is>
      </c>
      <c r="H38" s="24" t="inlineStr">
        <is>
          <t>—</t>
        </is>
      </c>
    </row>
    <row r="39">
      <c r="B39" s="9" t="inlineStr">
        <is>
          <t>NTM EBITDA (input)</t>
        </is>
      </c>
      <c r="D39" s="24" t="inlineStr">
        <is>
          <t>—</t>
        </is>
      </c>
      <c r="E39" s="24" t="inlineStr">
        <is>
          <t>—</t>
        </is>
      </c>
      <c r="F39" s="24" t="inlineStr">
        <is>
          <t>—</t>
        </is>
      </c>
      <c r="G39" s="24" t="inlineStr">
        <is>
          <t>—</t>
        </is>
      </c>
      <c r="H39" s="24" t="inlineStr">
        <is>
          <t>—</t>
        </is>
      </c>
    </row>
    <row r="40">
      <c r="B40" s="9" t="inlineStr">
        <is>
          <t>NTM EPS (input)</t>
        </is>
      </c>
      <c r="D40" s="10" t="inlineStr">
        <is>
          <t>—</t>
        </is>
      </c>
      <c r="E40" s="10" t="inlineStr">
        <is>
          <t>—</t>
        </is>
      </c>
      <c r="F40" s="10" t="inlineStr">
        <is>
          <t>—</t>
        </is>
      </c>
      <c r="G40" s="10" t="inlineStr">
        <is>
          <t>—</t>
        </is>
      </c>
      <c r="H40" s="10" t="inlineStr">
        <is>
          <t>—</t>
        </is>
      </c>
    </row>
    <row r="41">
      <c r="B41" s="9" t="inlineStr">
        <is>
          <t>EV / NTM revenue</t>
        </is>
      </c>
      <c r="D41" s="23">
        <f>IFERROR(D17/D38,"")</f>
        <v/>
      </c>
      <c r="E41" s="23">
        <f>IFERROR(E17/E38,"")</f>
        <v/>
      </c>
      <c r="F41" s="23">
        <f>IFERROR(F17/F38,"")</f>
        <v/>
      </c>
      <c r="G41" s="23">
        <f>IFERROR(G17/G38,"")</f>
        <v/>
      </c>
      <c r="H41" s="23">
        <f>IFERROR(H17/H38,"")</f>
        <v/>
      </c>
    </row>
    <row r="42">
      <c r="B42" s="9" t="inlineStr">
        <is>
          <t>EV / NTM EBITDA</t>
        </is>
      </c>
      <c r="D42" s="23">
        <f>IFERROR(D17/D39,"")</f>
        <v/>
      </c>
      <c r="E42" s="23">
        <f>IFERROR(E17/E39,"")</f>
        <v/>
      </c>
      <c r="F42" s="23">
        <f>IFERROR(F17/F39,"")</f>
        <v/>
      </c>
      <c r="G42" s="23">
        <f>IFERROR(G17/G39,"")</f>
        <v/>
      </c>
      <c r="H42" s="23">
        <f>IFERROR(H17/H39,"")</f>
        <v/>
      </c>
    </row>
    <row r="43">
      <c r="B43" s="9" t="inlineStr">
        <is>
          <t>Forward P / E</t>
        </is>
      </c>
      <c r="D43" s="23">
        <f>IFERROR(D8/D40,"")</f>
        <v/>
      </c>
      <c r="E43" s="23">
        <f>IFERROR(E8/E40,"")</f>
        <v/>
      </c>
      <c r="F43" s="23">
        <f>IFERROR(F8/F40,"")</f>
        <v/>
      </c>
      <c r="G43" s="23">
        <f>IFERROR(G8/G40,"")</f>
        <v/>
      </c>
      <c r="H43" s="23">
        <f>IFERROR(H8/H40,"")</f>
        <v/>
      </c>
    </row>
    <row r="45">
      <c r="B45" s="7" t="inlineStr">
        <is>
          <t>Set statistics</t>
        </is>
      </c>
      <c r="D45" s="8" t="n"/>
      <c r="E45" s="8" t="n"/>
      <c r="F45" s="8" t="n"/>
      <c r="G45" s="8" t="n"/>
      <c r="H45" s="8" t="n"/>
    </row>
    <row r="46">
      <c r="B46" s="18" t="inlineStr">
        <is>
          <t>Trailing EV / Revenue — median</t>
        </is>
      </c>
      <c r="D46" s="25">
        <f>IFERROR(MEDIAN(D33:H33),"")</f>
        <v/>
      </c>
      <c r="E46" s="26" t="inlineStr">
        <is>
          <t>—</t>
        </is>
      </c>
      <c r="F46" s="26" t="inlineStr">
        <is>
          <t>—</t>
        </is>
      </c>
      <c r="G46" s="26" t="inlineStr">
        <is>
          <t>—</t>
        </is>
      </c>
      <c r="H46" s="26" t="inlineStr">
        <is>
          <t>—</t>
        </is>
      </c>
    </row>
    <row r="47">
      <c r="B47" s="18" t="inlineStr">
        <is>
          <t>Trailing EV / Revenue — mean</t>
        </is>
      </c>
      <c r="D47" s="25">
        <f>IFERROR(AVERAGE(D33:H33),"")</f>
        <v/>
      </c>
      <c r="E47" s="26" t="inlineStr">
        <is>
          <t>—</t>
        </is>
      </c>
      <c r="F47" s="26" t="inlineStr">
        <is>
          <t>—</t>
        </is>
      </c>
      <c r="G47" s="26" t="inlineStr">
        <is>
          <t>—</t>
        </is>
      </c>
      <c r="H47" s="26" t="inlineStr">
        <is>
          <t>—</t>
        </is>
      </c>
    </row>
    <row r="48">
      <c r="B48" s="18" t="inlineStr">
        <is>
          <t>Trailing EV / EBITDA — median</t>
        </is>
      </c>
      <c r="D48" s="25">
        <f>IFERROR(MEDIAN(D34:H34),"")</f>
        <v/>
      </c>
      <c r="E48" s="26" t="inlineStr">
        <is>
          <t>—</t>
        </is>
      </c>
      <c r="F48" s="26" t="inlineStr">
        <is>
          <t>—</t>
        </is>
      </c>
      <c r="G48" s="26" t="inlineStr">
        <is>
          <t>—</t>
        </is>
      </c>
      <c r="H48" s="26" t="inlineStr">
        <is>
          <t>—</t>
        </is>
      </c>
    </row>
    <row r="49">
      <c r="B49" s="18" t="inlineStr">
        <is>
          <t>Trailing EV / EBITDA — mean</t>
        </is>
      </c>
      <c r="D49" s="25">
        <f>IFERROR(AVERAGE(D34:H34),"")</f>
        <v/>
      </c>
      <c r="E49" s="26" t="inlineStr">
        <is>
          <t>—</t>
        </is>
      </c>
      <c r="F49" s="26" t="inlineStr">
        <is>
          <t>—</t>
        </is>
      </c>
      <c r="G49" s="26" t="inlineStr">
        <is>
          <t>—</t>
        </is>
      </c>
      <c r="H49" s="26" t="inlineStr">
        <is>
          <t>—</t>
        </is>
      </c>
    </row>
    <row r="50">
      <c r="B50" s="18" t="inlineStr">
        <is>
          <t>Trailing P / E — median</t>
        </is>
      </c>
      <c r="D50" s="25">
        <f>IFERROR(MEDIAN(D35:H35),"")</f>
        <v/>
      </c>
      <c r="E50" s="26" t="inlineStr">
        <is>
          <t>—</t>
        </is>
      </c>
      <c r="F50" s="26" t="inlineStr">
        <is>
          <t>—</t>
        </is>
      </c>
      <c r="G50" s="26" t="inlineStr">
        <is>
          <t>—</t>
        </is>
      </c>
      <c r="H50" s="26" t="inlineStr">
        <is>
          <t>—</t>
        </is>
      </c>
    </row>
    <row r="51">
      <c r="B51" s="18" t="inlineStr">
        <is>
          <t>Trailing P / E — mean</t>
        </is>
      </c>
      <c r="D51" s="25">
        <f>IFERROR(AVERAGE(D35:H35),"")</f>
        <v/>
      </c>
      <c r="E51" s="26" t="inlineStr">
        <is>
          <t>—</t>
        </is>
      </c>
      <c r="F51" s="26" t="inlineStr">
        <is>
          <t>—</t>
        </is>
      </c>
      <c r="G51" s="26" t="inlineStr">
        <is>
          <t>—</t>
        </is>
      </c>
      <c r="H51" s="26" t="inlineStr">
        <is>
          <t>—</t>
        </is>
      </c>
    </row>
    <row r="52">
      <c r="B52" s="18" t="inlineStr">
        <is>
          <t>Forward EV / Revenue — median</t>
        </is>
      </c>
      <c r="D52" s="25">
        <f>IFERROR(MEDIAN(D41:H41),"")</f>
        <v/>
      </c>
      <c r="E52" s="26" t="inlineStr">
        <is>
          <t>—</t>
        </is>
      </c>
      <c r="F52" s="26" t="inlineStr">
        <is>
          <t>—</t>
        </is>
      </c>
      <c r="G52" s="26" t="inlineStr">
        <is>
          <t>—</t>
        </is>
      </c>
      <c r="H52" s="26" t="inlineStr">
        <is>
          <t>—</t>
        </is>
      </c>
    </row>
    <row r="53">
      <c r="B53" s="18" t="inlineStr">
        <is>
          <t>Forward EV / Revenue — mean</t>
        </is>
      </c>
      <c r="D53" s="25">
        <f>IFERROR(AVERAGE(D41:H41),"")</f>
        <v/>
      </c>
      <c r="E53" s="26" t="inlineStr">
        <is>
          <t>—</t>
        </is>
      </c>
      <c r="F53" s="26" t="inlineStr">
        <is>
          <t>—</t>
        </is>
      </c>
      <c r="G53" s="26" t="inlineStr">
        <is>
          <t>—</t>
        </is>
      </c>
      <c r="H53" s="26" t="inlineStr">
        <is>
          <t>—</t>
        </is>
      </c>
    </row>
    <row r="54">
      <c r="B54" s="18" t="inlineStr">
        <is>
          <t>Forward EV / EBITDA — median</t>
        </is>
      </c>
      <c r="D54" s="25">
        <f>IFERROR(MEDIAN(D42:H42),"")</f>
        <v/>
      </c>
      <c r="E54" s="26" t="inlineStr">
        <is>
          <t>—</t>
        </is>
      </c>
      <c r="F54" s="26" t="inlineStr">
        <is>
          <t>—</t>
        </is>
      </c>
      <c r="G54" s="26" t="inlineStr">
        <is>
          <t>—</t>
        </is>
      </c>
      <c r="H54" s="26" t="inlineStr">
        <is>
          <t>—</t>
        </is>
      </c>
    </row>
    <row r="55">
      <c r="B55" s="18" t="inlineStr">
        <is>
          <t>Forward EV / EBITDA — mean</t>
        </is>
      </c>
      <c r="D55" s="25">
        <f>IFERROR(AVERAGE(D42:H42),"")</f>
        <v/>
      </c>
      <c r="E55" s="26" t="inlineStr">
        <is>
          <t>—</t>
        </is>
      </c>
      <c r="F55" s="26" t="inlineStr">
        <is>
          <t>—</t>
        </is>
      </c>
      <c r="G55" s="26" t="inlineStr">
        <is>
          <t>—</t>
        </is>
      </c>
      <c r="H55" s="26" t="inlineStr">
        <is>
          <t>—</t>
        </is>
      </c>
    </row>
    <row r="56">
      <c r="B56" s="18" t="inlineStr">
        <is>
          <t>Forward P / E — median</t>
        </is>
      </c>
      <c r="D56" s="25">
        <f>IFERROR(MEDIAN(D43:H43),"")</f>
        <v/>
      </c>
      <c r="E56" s="26" t="inlineStr">
        <is>
          <t>—</t>
        </is>
      </c>
      <c r="F56" s="26" t="inlineStr">
        <is>
          <t>—</t>
        </is>
      </c>
      <c r="G56" s="26" t="inlineStr">
        <is>
          <t>—</t>
        </is>
      </c>
      <c r="H56" s="26" t="inlineStr">
        <is>
          <t>—</t>
        </is>
      </c>
    </row>
    <row r="57">
      <c r="B57" s="18" t="inlineStr">
        <is>
          <t>Forward P / E — mean</t>
        </is>
      </c>
      <c r="D57" s="25">
        <f>IFERROR(AVERAGE(D43:H43),"")</f>
        <v/>
      </c>
      <c r="E57" s="26" t="inlineStr">
        <is>
          <t>—</t>
        </is>
      </c>
      <c r="F57" s="26" t="inlineStr">
        <is>
          <t>—</t>
        </is>
      </c>
      <c r="G57" s="26" t="inlineStr">
        <is>
          <t>—</t>
        </is>
      </c>
      <c r="H57" s="26" t="inlineStr">
        <is>
          <t>—</t>
        </is>
      </c>
    </row>
    <row r="59">
      <c r="B59" s="27" t="inlineStr">
        <is>
          <t>Shaded blue cells are yours to fill: price and consensus are not filing data, so this workbook will not guess them.</t>
        </is>
      </c>
    </row>
    <row r="60">
      <c r="B60" s="27" t="inlineStr">
        <is>
          <t>Multiples recompute from the cells above. Never hard-code a multiple.</t>
        </is>
      </c>
    </row>
    <row r="61">
      <c r="B61" s="27" t="inlineStr">
        <is>
          <t>CALENDARISATION REQUIRED: these filers do not share a fiscal year end (Dec, Jan, Nov). The multiples above compare different twelve-month windows. Calendarise to a common year end before using them, and say in the footnote which filers were adjusted and how.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D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NVDA comparable companies</t>
        </is>
      </c>
    </row>
    <row r="3">
      <c r="B3" s="2" t="inlineStr">
        <is>
          <t>Inclusion and rejection rationale</t>
        </is>
      </c>
    </row>
    <row r="7">
      <c r="B7" s="7" t="inlineStr">
        <is>
          <t>Why each name is in the set</t>
        </is>
      </c>
    </row>
    <row r="8">
      <c r="B8" s="27" t="inlineStr">
        <is>
          <t>Fill the rationale column before you show this to anyone. Business-model similarity, size band, growth band, margin structure and end-market exposure are the five tests that survive scrutiny.</t>
        </is>
      </c>
    </row>
    <row r="10">
      <c r="B10" s="9" t="inlineStr">
        <is>
          <t>NVDA — NVIDIA CORP</t>
        </is>
      </c>
      <c r="D10" s="28" t="inlineStr">
        <is>
          <t>[rationale: business model / size / growth / margins / end market]</t>
        </is>
      </c>
    </row>
    <row r="11">
      <c r="B11" s="9" t="inlineStr">
        <is>
          <t>AMD — ADVANCED MICRO DEVICES INC</t>
        </is>
      </c>
      <c r="D11" s="28" t="inlineStr">
        <is>
          <t>[rationale: business model / size / growth / margins / end market]</t>
        </is>
      </c>
    </row>
    <row r="12">
      <c r="B12" s="9" t="inlineStr">
        <is>
          <t>AVGO — Broadcom Inc.</t>
        </is>
      </c>
      <c r="D12" s="28" t="inlineStr">
        <is>
          <t>[rationale: business model / size / growth / margins / end market]</t>
        </is>
      </c>
    </row>
    <row r="13">
      <c r="B13" s="9" t="inlineStr">
        <is>
          <t>MRVL — Marvell Technology, Inc.</t>
        </is>
      </c>
      <c r="D13" s="28" t="inlineStr">
        <is>
          <t>[rationale: business model / size / growth / margins / end market]</t>
        </is>
      </c>
    </row>
    <row r="14">
      <c r="B14" s="9" t="inlineStr">
        <is>
          <t>INTC — INTEL CORP</t>
        </is>
      </c>
      <c r="D14" s="28" t="inlineStr">
        <is>
          <t>[rationale: business model / size / growth / margins / end market]</t>
        </is>
      </c>
    </row>
    <row r="16">
      <c r="B16" s="7" t="inlineStr">
        <is>
          <t>Names considered and rejected</t>
        </is>
      </c>
    </row>
    <row r="17">
      <c r="B17" s="27" t="inlineStr">
        <is>
          <t>An empty rejection list is a red flag. If you did not reject anyone, you did not build a set, you took a sector list.</t>
        </is>
      </c>
    </row>
    <row r="18">
      <c r="B18" s="9" t="inlineStr">
        <is>
          <t>[rejected ticker]</t>
        </is>
      </c>
      <c r="D18" s="28" t="inlineStr">
        <is>
          <t>[reason for rejection]</t>
        </is>
      </c>
    </row>
    <row r="19">
      <c r="B19" s="9" t="inlineStr">
        <is>
          <t>[rejected ticker]</t>
        </is>
      </c>
      <c r="D19" s="28" t="inlineStr">
        <is>
          <t>[reason for rejection]</t>
        </is>
      </c>
    </row>
    <row r="20">
      <c r="B20" s="9" t="inlineStr">
        <is>
          <t>[rejected ticker]</t>
        </is>
      </c>
      <c r="D20" s="28" t="inlineStr">
        <is>
          <t>[reason for rejection]</t>
        </is>
      </c>
    </row>
    <row r="21">
      <c r="B21" s="9" t="inlineStr">
        <is>
          <t>[rejected ticker]</t>
        </is>
      </c>
      <c r="D21" s="28" t="inlineStr">
        <is>
          <t>[reason for rejection]</t>
        </is>
      </c>
    </row>
    <row r="22">
      <c r="B22" s="9" t="inlineStr">
        <is>
          <t>[rejected ticker]</t>
        </is>
      </c>
      <c r="D22" s="28" t="inlineStr">
        <is>
          <t>[reason for rejection]</t>
        </is>
      </c>
    </row>
    <row r="23">
      <c r="B23" s="9" t="inlineStr">
        <is>
          <t>[rejected ticker]</t>
        </is>
      </c>
      <c r="D23" s="28" t="inlineStr">
        <is>
          <t>[reason for rejection]</t>
        </is>
      </c>
    </row>
    <row r="25">
      <c r="B25" s="7" t="inlineStr">
        <is>
          <t>Calendarisation</t>
        </is>
      </c>
    </row>
    <row r="26">
      <c r="B26" s="9" t="inlineStr">
        <is>
          <t>NVDA</t>
        </is>
      </c>
      <c r="D26" s="28" t="inlineStr">
        <is>
          <t>Fiscal year ends Jan · latest period FY2022</t>
        </is>
      </c>
    </row>
    <row r="27">
      <c r="B27" s="9" t="inlineStr">
        <is>
          <t>AMD</t>
        </is>
      </c>
      <c r="D27" s="28" t="inlineStr">
        <is>
          <t>Fiscal year ends Dec · latest period FY2025</t>
        </is>
      </c>
    </row>
    <row r="28">
      <c r="B28" s="9" t="inlineStr">
        <is>
          <t>AVGO</t>
        </is>
      </c>
      <c r="D28" s="28" t="inlineStr">
        <is>
          <t>Fiscal year ends Nov · latest period FY2025</t>
        </is>
      </c>
    </row>
    <row r="29">
      <c r="B29" s="9" t="inlineStr">
        <is>
          <t>MRVL</t>
        </is>
      </c>
      <c r="D29" s="28" t="inlineStr">
        <is>
          <t>Fiscal year ends Jan · latest period FY2026</t>
        </is>
      </c>
    </row>
    <row r="30">
      <c r="B30" s="9" t="inlineStr">
        <is>
          <t>INTC</t>
        </is>
      </c>
      <c r="D30" s="28" t="inlineStr">
        <is>
          <t>Fiscal year ends Dec · latest period FY2025</t>
        </is>
      </c>
    </row>
    <row r="31">
      <c r="B31" s="27" t="inlineStr">
        <is>
          <t>Year ends differ across the set. State the common year end you calendarised to and which filers were stubbed, or the comparison is not a comparison.</t>
        </is>
      </c>
    </row>
    <row r="33">
      <c r="B33" s="7" t="inlineStr">
        <is>
          <t>Adjustments made</t>
        </is>
      </c>
    </row>
    <row r="34">
      <c r="B34" s="27" t="inlineStr">
        <is>
          <t>Note every adjustment here: stock-based compensation treatment, operating leases capitalised or not, non-recurring items excluded, fiscal-year calendarisation. An unstated adjustment is the fastest way to lose the room.</t>
        </is>
      </c>
    </row>
    <row r="35">
      <c r="B35" s="9" t="inlineStr">
        <is>
          <t>[adjustment]</t>
        </is>
      </c>
      <c r="D35" s="28" t="inlineStr">
        <is>
          <t>[what and why]</t>
        </is>
      </c>
    </row>
    <row r="36">
      <c r="B36" s="9" t="inlineStr">
        <is>
          <t>[adjustment]</t>
        </is>
      </c>
      <c r="D36" s="28" t="inlineStr">
        <is>
          <t>[what and why]</t>
        </is>
      </c>
    </row>
    <row r="37">
      <c r="B37" s="9" t="inlineStr">
        <is>
          <t>[adjustment]</t>
        </is>
      </c>
      <c r="D37" s="28" t="inlineStr">
        <is>
          <t>[what and why]</t>
        </is>
      </c>
    </row>
    <row r="38">
      <c r="B38" s="9" t="inlineStr">
        <is>
          <t>[adjustment]</t>
        </is>
      </c>
      <c r="D38" s="28" t="inlineStr">
        <is>
          <t>[what and why]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NVDA comparable companies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9" t="inlineStr">
        <is>
          <t>Share price and forward consensus are user inputs and carry no filing provenance by design.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30" t="n">
        <v>1</v>
      </c>
      <c r="C8" s="9" t="inlineStr">
        <is>
          <t>AMD FY2025 10-K</t>
        </is>
      </c>
      <c r="D8" s="30" t="inlineStr">
        <is>
          <t>us-gaap:WeightedAverageNumberOfDilutedSharesOutstanding · period ending 2025-12-27 · shares · filed 2026-02-04</t>
        </is>
      </c>
      <c r="E8" s="30" t="inlineStr">
        <is>
          <t>0000002488-26-000018</t>
        </is>
      </c>
      <c r="F8" s="31" t="inlineStr">
        <is>
          <t>https://www.sec.gov/Archives/edgar/data/2488/000000248826000018/0000002488-26-000018-index.htm</t>
        </is>
      </c>
    </row>
    <row r="9">
      <c r="B9" s="30" t="n">
        <v>2</v>
      </c>
      <c r="C9" s="9" t="inlineStr">
        <is>
          <t>AVGO FY2025 10-K</t>
        </is>
      </c>
      <c r="D9" s="30" t="inlineStr">
        <is>
          <t>us-gaap:WeightedAverageNumberOfDilutedSharesOutstanding · period ending 2025-11-02 · shares · filed 2025-12-18</t>
        </is>
      </c>
      <c r="E9" s="30" t="inlineStr">
        <is>
          <t>0001730168-25-000121</t>
        </is>
      </c>
      <c r="F9" s="31" t="inlineStr">
        <is>
          <t>https://www.sec.gov/Archives/edgar/data/1730168/000173016825000121/0001730168-25-000121-index.htm</t>
        </is>
      </c>
    </row>
    <row r="10">
      <c r="B10" s="30" t="n">
        <v>3</v>
      </c>
      <c r="C10" s="9" t="inlineStr">
        <is>
          <t>MRVL FY2026 10-K</t>
        </is>
      </c>
      <c r="D10" s="30" t="inlineStr">
        <is>
          <t>us-gaap:WeightedAverageNumberOfDilutedSharesOutstanding · period ending 2026-01-31 · shares · filed 2026-03-11</t>
        </is>
      </c>
      <c r="E10" s="30" t="inlineStr">
        <is>
          <t>0001835632-26-000011</t>
        </is>
      </c>
      <c r="F10" s="31" t="inlineStr">
        <is>
          <t>https://www.sec.gov/Archives/edgar/data/1835632/000183563226000011/0001835632-26-000011-index.htm</t>
        </is>
      </c>
    </row>
    <row r="11">
      <c r="B11" s="30" t="n">
        <v>4</v>
      </c>
      <c r="C11" s="9" t="inlineStr">
        <is>
          <t>INTC FY2025 10-K</t>
        </is>
      </c>
      <c r="D11" s="30" t="inlineStr">
        <is>
          <t>us-gaap:WeightedAverageNumberOfDilutedSharesOutstanding · period ending 2025-12-27 · shares · filed 2026-01-23</t>
        </is>
      </c>
      <c r="E11" s="30" t="inlineStr">
        <is>
          <t>0000050863-26-000011</t>
        </is>
      </c>
      <c r="F11" s="31" t="inlineStr">
        <is>
          <t>https://www.sec.gov/Archives/edgar/data/50863/000005086326000011/0000050863-26-000011-index.htm</t>
        </is>
      </c>
    </row>
    <row r="12">
      <c r="B12" s="30" t="n">
        <v>5</v>
      </c>
      <c r="C12" s="9" t="inlineStr">
        <is>
          <t>AMD FY2025 10-K</t>
        </is>
      </c>
      <c r="D12" s="30" t="inlineStr">
        <is>
          <t>us-gaap:LongTermDebtNoncurrent · period ending 2025-12-27 · USD · filed 2026-02-04</t>
        </is>
      </c>
      <c r="E12" s="30" t="inlineStr">
        <is>
          <t>0000002488-26-000018</t>
        </is>
      </c>
      <c r="F12" s="31" t="inlineStr">
        <is>
          <t>https://www.sec.gov/Archives/edgar/data/2488/000000248826000018/0000002488-26-000018-index.htm</t>
        </is>
      </c>
    </row>
    <row r="13">
      <c r="B13" s="30" t="n">
        <v>6</v>
      </c>
      <c r="C13" s="9" t="inlineStr">
        <is>
          <t>AVGO FY2025 10-K</t>
        </is>
      </c>
      <c r="D13" s="30" t="inlineStr">
        <is>
          <t>us-gaap:LongTermDebtCurrent · period ending 2025-11-02 · USD · filed 2025-12-18</t>
        </is>
      </c>
      <c r="E13" s="30" t="inlineStr">
        <is>
          <t>0001730168-25-000121</t>
        </is>
      </c>
      <c r="F13" s="31" t="inlineStr">
        <is>
          <t>https://www.sec.gov/Archives/edgar/data/1730168/000173016825000121/0001730168-25-000121-index.htm</t>
        </is>
      </c>
    </row>
    <row r="14">
      <c r="B14" s="30" t="n">
        <v>7</v>
      </c>
      <c r="C14" s="9" t="inlineStr">
        <is>
          <t>MRVL FY2026 10-K</t>
        </is>
      </c>
      <c r="D14" s="30" t="inlineStr">
        <is>
          <t>us-gaap:LongTermDebtNoncurrent · period ending 2026-01-31 · USD · filed 2026-03-11</t>
        </is>
      </c>
      <c r="E14" s="30" t="inlineStr">
        <is>
          <t>0001835632-26-000011</t>
        </is>
      </c>
      <c r="F14" s="31" t="inlineStr">
        <is>
          <t>https://www.sec.gov/Archives/edgar/data/1835632/000183563226000011/0001835632-26-000011-index.htm</t>
        </is>
      </c>
    </row>
    <row r="15">
      <c r="B15" s="30" t="n">
        <v>8</v>
      </c>
      <c r="C15" s="9" t="inlineStr">
        <is>
          <t>INTC FY2025 10-K</t>
        </is>
      </c>
      <c r="D15" s="30" t="inlineStr">
        <is>
          <t>us-gaap:LongTermDebtNoncurrent · period ending 2025-12-27 · USD · filed 2026-01-23</t>
        </is>
      </c>
      <c r="E15" s="30" t="inlineStr">
        <is>
          <t>0000050863-26-000011</t>
        </is>
      </c>
      <c r="F15" s="31" t="inlineStr">
        <is>
          <t>https://www.sec.gov/Archives/edgar/data/50863/000005086326000011/0000050863-26-000011-index.htm</t>
        </is>
      </c>
    </row>
    <row r="16">
      <c r="B16" s="30" t="n">
        <v>9</v>
      </c>
      <c r="C16" s="9" t="inlineStr">
        <is>
          <t>AMD FY2025 10-K</t>
        </is>
      </c>
      <c r="D16" s="30" t="inlineStr">
        <is>
          <t>us-gaap:CashAndCashEquivalentsAtCarryingValue · period ending 2025-12-27 · USD · filed 2026-02-04</t>
        </is>
      </c>
      <c r="E16" s="30" t="inlineStr">
        <is>
          <t>0000002488-26-000018</t>
        </is>
      </c>
      <c r="F16" s="31" t="inlineStr">
        <is>
          <t>https://www.sec.gov/Archives/edgar/data/2488/000000248826000018/0000002488-26-000018-index.htm</t>
        </is>
      </c>
    </row>
    <row r="17">
      <c r="B17" s="30" t="n">
        <v>10</v>
      </c>
      <c r="C17" s="9" t="inlineStr">
        <is>
          <t>AVGO FY2025 10-K</t>
        </is>
      </c>
      <c r="D17" s="30" t="inlineStr">
        <is>
          <t>us-gaap:CashAndCashEquivalentsAtCarryingValue · period ending 2025-11-02 · USD · filed 2025-12-18</t>
        </is>
      </c>
      <c r="E17" s="30" t="inlineStr">
        <is>
          <t>0001730168-25-000121</t>
        </is>
      </c>
      <c r="F17" s="31" t="inlineStr">
        <is>
          <t>https://www.sec.gov/Archives/edgar/data/1730168/000173016825000121/0001730168-25-000121-index.htm</t>
        </is>
      </c>
    </row>
    <row r="18">
      <c r="B18" s="30" t="n">
        <v>11</v>
      </c>
      <c r="C18" s="9" t="inlineStr">
        <is>
          <t>MRVL FY2026 10-K</t>
        </is>
      </c>
      <c r="D18" s="30" t="inlineStr">
        <is>
          <t>us-gaap:CashAndCashEquivalentsAtCarryingValue · period ending 2026-01-31 · USD · filed 2026-03-11</t>
        </is>
      </c>
      <c r="E18" s="30" t="inlineStr">
        <is>
          <t>0001835632-26-000011</t>
        </is>
      </c>
      <c r="F18" s="31" t="inlineStr">
        <is>
          <t>https://www.sec.gov/Archives/edgar/data/1835632/000183563226000011/0001835632-26-000011-index.htm</t>
        </is>
      </c>
    </row>
    <row r="19">
      <c r="B19" s="30" t="n">
        <v>12</v>
      </c>
      <c r="C19" s="9" t="inlineStr">
        <is>
          <t>INTC FY2025 10-K</t>
        </is>
      </c>
      <c r="D19" s="30" t="inlineStr">
        <is>
          <t>us-gaap:CashAndCashEquivalentsAtCarryingValue · period ending 2025-12-27 · USD · filed 2026-01-23</t>
        </is>
      </c>
      <c r="E19" s="30" t="inlineStr">
        <is>
          <t>0000050863-26-000011</t>
        </is>
      </c>
      <c r="F19" s="31" t="inlineStr">
        <is>
          <t>https://www.sec.gov/Archives/edgar/data/50863/000005086326000011/0000050863-26-000011-index.htm</t>
        </is>
      </c>
    </row>
    <row r="20">
      <c r="B20" s="30" t="n">
        <v>13</v>
      </c>
      <c r="C20" s="9" t="inlineStr">
        <is>
          <t>AMD FY2025 10-K</t>
        </is>
      </c>
      <c r="D20" s="30" t="inlineStr">
        <is>
          <t>us-gaap:ShortTermInvestments · period ending 2025-12-27 · USD · filed 2026-02-04</t>
        </is>
      </c>
      <c r="E20" s="30" t="inlineStr">
        <is>
          <t>0000002488-26-000018</t>
        </is>
      </c>
      <c r="F20" s="31" t="inlineStr">
        <is>
          <t>https://www.sec.gov/Archives/edgar/data/2488/000000248826000018/0000002488-26-000018-index.htm</t>
        </is>
      </c>
    </row>
    <row r="21">
      <c r="B21" s="30" t="n">
        <v>14</v>
      </c>
      <c r="C21" s="9" t="inlineStr">
        <is>
          <t>INTC FY2025 10-K</t>
        </is>
      </c>
      <c r="D21" s="30" t="inlineStr">
        <is>
          <t>us-gaap:AvailableForSaleSecuritiesDebtSecuritiesCurrent · period ending 2025-12-27 · USD · filed 2026-01-23</t>
        </is>
      </c>
      <c r="E21" s="30" t="inlineStr">
        <is>
          <t>0000050863-26-000011</t>
        </is>
      </c>
      <c r="F21" s="31" t="inlineStr">
        <is>
          <t>https://www.sec.gov/Archives/edgar/data/50863/000005086326000011/0000050863-26-000011-index.htm</t>
        </is>
      </c>
    </row>
    <row r="22">
      <c r="B22" s="30" t="n">
        <v>15</v>
      </c>
      <c r="C22" s="9" t="inlineStr">
        <is>
          <t>NVDA FY2022 10-K</t>
        </is>
      </c>
      <c r="D22" s="30" t="inlineStr">
        <is>
          <t>us-gaap:RevenueFromContractWithCustomerExcludingAssessedTax · period ending 2022-01-30 · USD · filed 2022-03-18</t>
        </is>
      </c>
      <c r="E22" s="30" t="inlineStr">
        <is>
          <t>0001045810-22-000036</t>
        </is>
      </c>
      <c r="F22" s="31" t="inlineStr">
        <is>
          <t>https://www.sec.gov/Archives/edgar/data/1045810/000104581022000036/0001045810-22-000036-index.htm</t>
        </is>
      </c>
    </row>
    <row r="23">
      <c r="B23" s="30" t="n">
        <v>16</v>
      </c>
      <c r="C23" s="9" t="inlineStr">
        <is>
          <t>AMD FY2025 10-K</t>
        </is>
      </c>
      <c r="D23" s="30" t="inlineStr">
        <is>
          <t>us-gaap:RevenueFromContractWithCustomerExcludingAssessedTax · period ending 2025-12-27 · USD · filed 2026-02-04</t>
        </is>
      </c>
      <c r="E23" s="30" t="inlineStr">
        <is>
          <t>0000002488-26-000018</t>
        </is>
      </c>
      <c r="F23" s="31" t="inlineStr">
        <is>
          <t>https://www.sec.gov/Archives/edgar/data/2488/000000248826000018/0000002488-26-000018-index.htm</t>
        </is>
      </c>
    </row>
    <row r="24">
      <c r="B24" s="30" t="n">
        <v>17</v>
      </c>
      <c r="C24" s="9" t="inlineStr">
        <is>
          <t>AVGO FY2025 10-K</t>
        </is>
      </c>
      <c r="D24" s="30" t="inlineStr">
        <is>
          <t>us-gaap:RevenueFromContractWithCustomerExcludingAssessedTax · period ending 2025-11-02 · USD · filed 2025-12-18</t>
        </is>
      </c>
      <c r="E24" s="30" t="inlineStr">
        <is>
          <t>0001730168-25-000121</t>
        </is>
      </c>
      <c r="F24" s="31" t="inlineStr">
        <is>
          <t>https://www.sec.gov/Archives/edgar/data/1730168/000173016825000121/0001730168-25-000121-index.htm</t>
        </is>
      </c>
    </row>
    <row r="25">
      <c r="B25" s="30" t="n">
        <v>18</v>
      </c>
      <c r="C25" s="9" t="inlineStr">
        <is>
          <t>MRVL FY2026 10-K</t>
        </is>
      </c>
      <c r="D25" s="30" t="inlineStr">
        <is>
          <t>us-gaap:RevenueFromContractWithCustomerExcludingAssessedTax · period ending 2026-01-31 · USD · filed 2026-03-11</t>
        </is>
      </c>
      <c r="E25" s="30" t="inlineStr">
        <is>
          <t>0001835632-26-000011</t>
        </is>
      </c>
      <c r="F25" s="31" t="inlineStr">
        <is>
          <t>https://www.sec.gov/Archives/edgar/data/1835632/000183563226000011/0001835632-26-000011-index.htm</t>
        </is>
      </c>
    </row>
    <row r="26">
      <c r="B26" s="30" t="n">
        <v>19</v>
      </c>
      <c r="C26" s="9" t="inlineStr">
        <is>
          <t>INTC FY2025 10-K</t>
        </is>
      </c>
      <c r="D26" s="30" t="inlineStr">
        <is>
          <t>us-gaap:RevenueFromContractWithCustomerExcludingAssessedTax · period ending 2025-12-27 · USD · filed 2026-01-23</t>
        </is>
      </c>
      <c r="E26" s="30" t="inlineStr">
        <is>
          <t>0000050863-26-000011</t>
        </is>
      </c>
      <c r="F26" s="31" t="inlineStr">
        <is>
          <t>https://www.sec.gov/Archives/edgar/data/50863/000005086326000011/0000050863-26-000011-index.htm</t>
        </is>
      </c>
    </row>
    <row r="27">
      <c r="B27" s="30" t="n">
        <v>20</v>
      </c>
      <c r="C27" s="9" t="inlineStr">
        <is>
          <t>AMD FY2025 10-K</t>
        </is>
      </c>
      <c r="D27" s="30" t="inlineStr">
        <is>
          <t>us-gaap:GrossProfit · period ending 2025-12-27 · USD · filed 2026-02-04</t>
        </is>
      </c>
      <c r="E27" s="30" t="inlineStr">
        <is>
          <t>0000002488-26-000018</t>
        </is>
      </c>
      <c r="F27" s="31" t="inlineStr">
        <is>
          <t>https://www.sec.gov/Archives/edgar/data/2488/000000248826000018/0000002488-26-000018-index.htm</t>
        </is>
      </c>
    </row>
    <row r="28">
      <c r="B28" s="30" t="n">
        <v>21</v>
      </c>
      <c r="C28" s="9" t="inlineStr">
        <is>
          <t>AVGO FY2025 10-K</t>
        </is>
      </c>
      <c r="D28" s="30" t="inlineStr">
        <is>
          <t>us-gaap:GrossProfit · period ending 2025-11-02 · USD · filed 2025-12-18</t>
        </is>
      </c>
      <c r="E28" s="30" t="inlineStr">
        <is>
          <t>0001730168-25-000121</t>
        </is>
      </c>
      <c r="F28" s="31" t="inlineStr">
        <is>
          <t>https://www.sec.gov/Archives/edgar/data/1730168/000173016825000121/0001730168-25-000121-index.htm</t>
        </is>
      </c>
    </row>
    <row r="29">
      <c r="B29" s="30" t="n">
        <v>22</v>
      </c>
      <c r="C29" s="9" t="inlineStr">
        <is>
          <t>MRVL FY2026 10-K</t>
        </is>
      </c>
      <c r="D29" s="30" t="inlineStr">
        <is>
          <t>us-gaap:GrossProfit · period ending 2026-01-31 · USD · filed 2026-03-11</t>
        </is>
      </c>
      <c r="E29" s="30" t="inlineStr">
        <is>
          <t>0001835632-26-000011</t>
        </is>
      </c>
      <c r="F29" s="31" t="inlineStr">
        <is>
          <t>https://www.sec.gov/Archives/edgar/data/1835632/000183563226000011/0001835632-26-000011-index.htm</t>
        </is>
      </c>
    </row>
    <row r="30">
      <c r="B30" s="30" t="n">
        <v>23</v>
      </c>
      <c r="C30" s="9" t="inlineStr">
        <is>
          <t>INTC FY2025 10-K</t>
        </is>
      </c>
      <c r="D30" s="30" t="inlineStr">
        <is>
          <t>us-gaap:GrossProfit · period ending 2025-12-27 · USD · filed 2026-01-23</t>
        </is>
      </c>
      <c r="E30" s="30" t="inlineStr">
        <is>
          <t>0000050863-26-000011</t>
        </is>
      </c>
      <c r="F30" s="31" t="inlineStr">
        <is>
          <t>https://www.sec.gov/Archives/edgar/data/50863/000005086326000011/0000050863-26-000011-index.htm</t>
        </is>
      </c>
    </row>
    <row r="31">
      <c r="B31" s="30" t="n">
        <v>24</v>
      </c>
      <c r="C31" s="9" t="inlineStr">
        <is>
          <t>AMD FY2025 10-K</t>
        </is>
      </c>
      <c r="D31" s="30" t="inlineStr">
        <is>
          <t>us-gaap:OperatingIncomeLoss · period ending 2025-12-27 · USD · filed 2026-02-04</t>
        </is>
      </c>
      <c r="E31" s="30" t="inlineStr">
        <is>
          <t>0000002488-26-000018</t>
        </is>
      </c>
      <c r="F31" s="31" t="inlineStr">
        <is>
          <t>https://www.sec.gov/Archives/edgar/data/2488/000000248826000018/0000002488-26-000018-index.htm</t>
        </is>
      </c>
    </row>
    <row r="32">
      <c r="B32" s="30" t="n">
        <v>25</v>
      </c>
      <c r="C32" s="9" t="inlineStr">
        <is>
          <t>AVGO FY2025 10-K</t>
        </is>
      </c>
      <c r="D32" s="30" t="inlineStr">
        <is>
          <t>us-gaap:OperatingIncomeLoss · period ending 2025-11-02 · USD · filed 2025-12-18</t>
        </is>
      </c>
      <c r="E32" s="30" t="inlineStr">
        <is>
          <t>0001730168-25-000121</t>
        </is>
      </c>
      <c r="F32" s="31" t="inlineStr">
        <is>
          <t>https://www.sec.gov/Archives/edgar/data/1730168/000173016825000121/0001730168-25-000121-index.htm</t>
        </is>
      </c>
    </row>
    <row r="33">
      <c r="B33" s="30" t="n">
        <v>26</v>
      </c>
      <c r="C33" s="9" t="inlineStr">
        <is>
          <t>MRVL FY2026 10-K</t>
        </is>
      </c>
      <c r="D33" s="30" t="inlineStr">
        <is>
          <t>us-gaap:OperatingIncomeLoss · period ending 2026-01-31 · USD · filed 2026-03-11</t>
        </is>
      </c>
      <c r="E33" s="30" t="inlineStr">
        <is>
          <t>0001835632-26-000011</t>
        </is>
      </c>
      <c r="F33" s="31" t="inlineStr">
        <is>
          <t>https://www.sec.gov/Archives/edgar/data/1835632/000183563226000011/0001835632-26-000011-index.htm</t>
        </is>
      </c>
    </row>
    <row r="34">
      <c r="B34" s="30" t="n">
        <v>27</v>
      </c>
      <c r="C34" s="9" t="inlineStr">
        <is>
          <t>INTC FY2025 10-K</t>
        </is>
      </c>
      <c r="D34" s="30" t="inlineStr">
        <is>
          <t>us-gaap:OperatingIncomeLoss · period ending 2025-12-27 · USD · filed 2026-01-23</t>
        </is>
      </c>
      <c r="E34" s="30" t="inlineStr">
        <is>
          <t>0000050863-26-000011</t>
        </is>
      </c>
      <c r="F34" s="31" t="inlineStr">
        <is>
          <t>https://www.sec.gov/Archives/edgar/data/50863/000005086326000011/0000050863-26-000011-index.htm</t>
        </is>
      </c>
    </row>
    <row r="35">
      <c r="B35" s="30" t="n">
        <v>28</v>
      </c>
      <c r="C35" s="9" t="inlineStr">
        <is>
          <t>AMD FY2025 10-K</t>
        </is>
      </c>
      <c r="D35" s="30" t="inlineStr">
        <is>
          <t>us-gaap:NetIncomeLoss · period ending 2025-12-27 · USD · filed 2026-02-04</t>
        </is>
      </c>
      <c r="E35" s="30" t="inlineStr">
        <is>
          <t>0000002488-26-000018</t>
        </is>
      </c>
      <c r="F35" s="31" t="inlineStr">
        <is>
          <t>https://www.sec.gov/Archives/edgar/data/2488/000000248826000018/0000002488-26-000018-index.htm</t>
        </is>
      </c>
    </row>
    <row r="36">
      <c r="B36" s="30" t="n">
        <v>29</v>
      </c>
      <c r="C36" s="9" t="inlineStr">
        <is>
          <t>AVGO FY2024 10-K</t>
        </is>
      </c>
      <c r="D36" s="30" t="inlineStr">
        <is>
          <t>us-gaap:NetIncomeLoss · period ending 2024-11-03 · USD · filed 2024-12-20</t>
        </is>
      </c>
      <c r="E36" s="30" t="inlineStr">
        <is>
          <t>0001730168-24-000139</t>
        </is>
      </c>
      <c r="F36" s="31" t="inlineStr">
        <is>
          <t>https://www.sec.gov/Archives/edgar/data/1730168/000173016824000139/0001730168-24-000139-index.htm</t>
        </is>
      </c>
    </row>
    <row r="37">
      <c r="B37" s="30" t="n">
        <v>30</v>
      </c>
      <c r="C37" s="9" t="inlineStr">
        <is>
          <t>MRVL FY2026 10-K</t>
        </is>
      </c>
      <c r="D37" s="30" t="inlineStr">
        <is>
          <t>us-gaap:NetIncomeLoss · period ending 2026-01-31 · USD · filed 2026-03-11</t>
        </is>
      </c>
      <c r="E37" s="30" t="inlineStr">
        <is>
          <t>0001835632-26-000011</t>
        </is>
      </c>
      <c r="F37" s="31" t="inlineStr">
        <is>
          <t>https://www.sec.gov/Archives/edgar/data/1835632/000183563226000011/0001835632-26-000011-index.htm</t>
        </is>
      </c>
    </row>
    <row r="38">
      <c r="B38" s="30" t="n">
        <v>31</v>
      </c>
      <c r="C38" s="9" t="inlineStr">
        <is>
          <t>INTC FY2025 10-K</t>
        </is>
      </c>
      <c r="D38" s="30" t="inlineStr">
        <is>
          <t>us-gaap:NetIncomeLoss · period ending 2025-12-27 · USD · filed 2026-01-23</t>
        </is>
      </c>
      <c r="E38" s="30" t="inlineStr">
        <is>
          <t>0000050863-26-000011</t>
        </is>
      </c>
      <c r="F38" s="31" t="inlineStr">
        <is>
          <t>https://www.sec.gov/Archives/edgar/data/50863/000005086326000011/0000050863-26-000011-index.htm</t>
        </is>
      </c>
    </row>
    <row r="39">
      <c r="B39" s="30" t="n">
        <v>32</v>
      </c>
      <c r="C39" s="9" t="inlineStr">
        <is>
          <t>AMD FY2025 10-K</t>
        </is>
      </c>
      <c r="D39" s="30" t="inlineStr">
        <is>
          <t>us-gaap:EarningsPerShareDiluted · period ending 2025-12-27 · USD/shares · filed 2026-02-04</t>
        </is>
      </c>
      <c r="E39" s="30" t="inlineStr">
        <is>
          <t>0000002488-26-000018</t>
        </is>
      </c>
      <c r="F39" s="31" t="inlineStr">
        <is>
          <t>https://www.sec.gov/Archives/edgar/data/2488/000000248826000018/0000002488-26-000018-index.htm</t>
        </is>
      </c>
    </row>
    <row r="40">
      <c r="B40" s="30" t="n">
        <v>33</v>
      </c>
      <c r="C40" s="9" t="inlineStr">
        <is>
          <t>AVGO FY2025 10-K</t>
        </is>
      </c>
      <c r="D40" s="30" t="inlineStr">
        <is>
          <t>us-gaap:EarningsPerShareDiluted · period ending 2025-11-02 · USD/shares · filed 2025-12-18</t>
        </is>
      </c>
      <c r="E40" s="30" t="inlineStr">
        <is>
          <t>0001730168-25-000121</t>
        </is>
      </c>
      <c r="F40" s="31" t="inlineStr">
        <is>
          <t>https://www.sec.gov/Archives/edgar/data/1730168/000173016825000121/0001730168-25-000121-index.htm</t>
        </is>
      </c>
    </row>
    <row r="41">
      <c r="B41" s="30" t="n">
        <v>34</v>
      </c>
      <c r="C41" s="9" t="inlineStr">
        <is>
          <t>MRVL FY2026 10-K</t>
        </is>
      </c>
      <c r="D41" s="30" t="inlineStr">
        <is>
          <t>us-gaap:EarningsPerShareDiluted · period ending 2026-01-31 · USD/shares · filed 2026-03-11</t>
        </is>
      </c>
      <c r="E41" s="30" t="inlineStr">
        <is>
          <t>0001835632-26-000011</t>
        </is>
      </c>
      <c r="F41" s="31" t="inlineStr">
        <is>
          <t>https://www.sec.gov/Archives/edgar/data/1835632/000183563226000011/0001835632-26-000011-index.htm</t>
        </is>
      </c>
    </row>
    <row r="42">
      <c r="B42" s="30" t="n">
        <v>35</v>
      </c>
      <c r="C42" s="9" t="inlineStr">
        <is>
          <t>INTC FY2025 10-K</t>
        </is>
      </c>
      <c r="D42" s="30" t="inlineStr">
        <is>
          <t>us-gaap:EarningsPerShareDiluted · period ending 2025-12-27 · USD/shares · filed 2026-01-23</t>
        </is>
      </c>
      <c r="E42" s="30" t="inlineStr">
        <is>
          <t>0000050863-26-000011</t>
        </is>
      </c>
      <c r="F42" s="31" t="inlineStr">
        <is>
          <t>https://www.sec.gov/Archives/edgar/data/50863/000005086326000011/0000050863-26-000011-index.htm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2026-08-24T11:03:55Z</dcterms:created>
  <dcterms:modified xsi:type="dcterms:W3CDTF">2026-08-24T11:03:55Z</dcterms:modified>
</cp:coreProperties>
</file>