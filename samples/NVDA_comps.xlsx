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Comps" sheetId="2" state="visible" r:id="rId2"/>
    <sheet name="Inclusion" sheetId="3" state="visible" r:id="rId3"/>
    <sheet name="Sources" sheetId="4" state="visible" r:id="rId4"/>
  </sheets>
  <definedNames>
    <definedName name="_xlnm.Print_Area" localSheetId="0">'Cover'!$A$1:$H$37</definedName>
    <definedName name="_xlnm.Print_Area" localSheetId="1">'Comps'!$A$1:$J$64</definedName>
    <definedName name="_xlnm.Print_Area" localSheetId="2">'Inclusion'!$A$1:$F$41</definedName>
  </definedNames>
  <calcPr calcId="124519" fullCalcOnLoad="1"/>
</workbook>
</file>

<file path=xl/styles.xml><?xml version="1.0" encoding="utf-8"?>
<styleSheet xmlns="http://schemas.openxmlformats.org/spreadsheetml/2006/main">
  <numFmts count="5">
    <numFmt numFmtId="164" formatCode="0.00_);\(0.00\)"/>
    <numFmt numFmtId="165" formatCode="#,##0,,_);\(#,##0,,\)"/>
    <numFmt numFmtId="166" formatCode="&quot;$&quot;#,##0,,_);\(&quot;$&quot;#,##0,,\)"/>
    <numFmt numFmtId="167" formatCode="0.0%_);\(0.0%\)"/>
    <numFmt numFmtId="168" formatCode="0.0&quot;x&quot;"/>
  </numFmts>
  <fonts count="21">
    <font>
      <name val="Calibri"/>
      <family val="2"/>
      <color theme="1"/>
      <sz val="11"/>
      <scheme val="minor"/>
    </font>
    <font>
      <b val="1"/>
      <color rgb="FF264D82"/>
      <sz val="10"/>
    </font>
    <font>
      <sz val="10"/>
    </font>
    <font>
      <color rgb="FF808080"/>
      <sz val="10"/>
    </font>
    <font>
      <color rgb="FF0000FF"/>
      <sz val="10"/>
    </font>
    <font>
      <color rgb="FF808080"/>
      <sz val="8"/>
    </font>
    <font>
      <b val="1"/>
      <sz val="10"/>
    </font>
    <font>
      <i val="1"/>
      <color rgb="FF808080"/>
      <sz val="10"/>
    </font>
    <font>
      <i val="1"/>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4">
    <fill>
      <patternFill/>
    </fill>
    <fill>
      <patternFill patternType="gray125"/>
    </fill>
    <fill>
      <patternFill patternType="solid">
        <fgColor rgb="FFFFF2CC"/>
      </patternFill>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5">
    <xf numFmtId="0" fontId="0" fillId="0" borderId="0" pivotButton="0" quotePrefix="0" xfId="0"/>
    <xf numFmtId="0" fontId="0" fillId="3" borderId="0" pivotButton="0" quotePrefix="0" xfId="0"/>
    <xf numFmtId="0" fontId="18" fillId="0" borderId="0" pivotButton="0" quotePrefix="0" xfId="0"/>
    <xf numFmtId="0" fontId="7" fillId="0" borderId="0" pivotButton="0" quotePrefix="0" xfId="0"/>
    <xf numFmtId="0" fontId="1" fillId="0" borderId="1" pivotButton="0" quotePrefix="0" xfId="0"/>
    <xf numFmtId="0" fontId="0" fillId="0" borderId="1" pivotButton="0" quotePrefix="0" xfId="0"/>
    <xf numFmtId="0" fontId="16" fillId="0" borderId="0" applyAlignment="1" pivotButton="0" quotePrefix="0" xfId="0">
      <alignment vertical="top" wrapText="1"/>
    </xf>
    <xf numFmtId="0" fontId="19" fillId="0" borderId="1" pivotButton="0" quotePrefix="0" xfId="0"/>
    <xf numFmtId="0" fontId="20" fillId="0" borderId="0" applyAlignment="1" pivotButton="0" quotePrefix="0" xfId="0">
      <alignment vertical="top" wrapText="1"/>
    </xf>
    <xf numFmtId="0" fontId="10" fillId="0" borderId="0" pivotButton="0" quotePrefix="0" xfId="0"/>
    <xf numFmtId="0" fontId="11" fillId="0" borderId="0" pivotButton="0" quotePrefix="0" xfId="0"/>
    <xf numFmtId="0" fontId="12" fillId="0" borderId="0" pivotButton="0" quotePrefix="0" xfId="0"/>
    <xf numFmtId="0" fontId="13" fillId="0" borderId="0" pivotButton="0" quotePrefix="0" xfId="0"/>
    <xf numFmtId="0" fontId="1" fillId="0" borderId="1" applyAlignment="1" pivotButton="0" quotePrefix="0" xfId="0">
      <alignment horizontal="right"/>
    </xf>
    <xf numFmtId="0" fontId="14" fillId="0" borderId="0" pivotButton="0" quotePrefix="0" xfId="0"/>
    <xf numFmtId="0" fontId="2" fillId="0" borderId="0" pivotButton="0" quotePrefix="0" xfId="0"/>
    <xf numFmtId="164" fontId="4" fillId="2" borderId="0" applyAlignment="1" pivotButton="0" quotePrefix="0" xfId="0">
      <alignment horizontal="right"/>
    </xf>
    <xf numFmtId="165" fontId="4" fillId="0" borderId="0" pivotButton="0" quotePrefix="0" xfId="0"/>
    <xf numFmtId="0" fontId="5" fillId="0" borderId="0" applyAlignment="1" pivotButton="0" quotePrefix="0" xfId="0">
      <alignment horizontal="left"/>
    </xf>
    <xf numFmtId="0" fontId="6" fillId="0" borderId="0" pivotButton="0" quotePrefix="0" xfId="0"/>
    <xf numFmtId="166" fontId="6" fillId="0" borderId="0" pivotButton="0" quotePrefix="0" xfId="0"/>
    <xf numFmtId="166" fontId="4" fillId="0" borderId="0" pivotButton="0" quotePrefix="0" xfId="0"/>
    <xf numFmtId="166" fontId="3" fillId="0" borderId="0" applyAlignment="1" pivotButton="0" quotePrefix="0" xfId="0">
      <alignment horizontal="right"/>
    </xf>
    <xf numFmtId="0" fontId="8" fillId="0" borderId="0" pivotButton="0" quotePrefix="0" xfId="0"/>
    <xf numFmtId="167" fontId="8" fillId="0" borderId="0" pivotButton="0" quotePrefix="0" xfId="0"/>
    <xf numFmtId="164" fontId="4" fillId="0" borderId="0" pivotButton="0" quotePrefix="0" xfId="0"/>
    <xf numFmtId="168" fontId="2" fillId="0" borderId="0" pivotButton="0" quotePrefix="0" xfId="0"/>
    <xf numFmtId="166" fontId="4" fillId="2" borderId="0" applyAlignment="1" pivotButton="0" quotePrefix="0" xfId="0">
      <alignment horizontal="right"/>
    </xf>
    <xf numFmtId="168" fontId="8" fillId="0" borderId="0" pivotButton="0" quotePrefix="0" xfId="0"/>
    <xf numFmtId="168" fontId="3" fillId="0" borderId="0" applyAlignment="1" pivotButton="0" quotePrefix="0" xfId="0">
      <alignment horizontal="right"/>
    </xf>
    <xf numFmtId="0" fontId="9" fillId="0" borderId="0" pivotButton="0" quotePrefix="0" xfId="0"/>
    <xf numFmtId="0" fontId="4" fillId="0" borderId="0" pivotButton="0" quotePrefix="0" xfId="0"/>
    <xf numFmtId="0" fontId="15" fillId="0" borderId="0" pivotButton="0" quotePrefix="0" xfId="0"/>
    <xf numFmtId="0" fontId="16" fillId="0" borderId="0" pivotButton="0" quotePrefix="0" xfId="0"/>
    <xf numFmtId="0" fontId="1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hyperlink" Target="https://www.sec.gov/Archives/edgar/data/1045810/000104581026000021/0001045810-26-000021-index.htm" TargetMode="External" Id="rId1" /><Relationship Type="http://schemas.openxmlformats.org/officeDocument/2006/relationships/hyperlink" Target="https://www.sec.gov/Archives/edgar/data/2488/000000248826000018/0000002488-26-000018-index.htm" TargetMode="External" Id="rId2" /><Relationship Type="http://schemas.openxmlformats.org/officeDocument/2006/relationships/hyperlink" Target="https://www.sec.gov/Archives/edgar/data/1730168/000173016825000121/0001730168-25-000121-index.htm" TargetMode="External" Id="rId3" /><Relationship Type="http://schemas.openxmlformats.org/officeDocument/2006/relationships/hyperlink" Target="https://www.sec.gov/Archives/edgar/data/1835632/000183563226000011/0001835632-26-000011-index.htm" TargetMode="External" Id="rId4" /><Relationship Type="http://schemas.openxmlformats.org/officeDocument/2006/relationships/hyperlink" Target="https://www.sec.gov/Archives/edgar/data/50863/000005086326000011/0000050863-26-000011-index.htm" TargetMode="External" Id="rId5" /><Relationship Type="http://schemas.openxmlformats.org/officeDocument/2006/relationships/hyperlink" Target="https://www.sec.gov/Archives/edgar/data/1045810/000104581026000021/0001045810-26-000021-index.htm" TargetMode="External" Id="rId6" /><Relationship Type="http://schemas.openxmlformats.org/officeDocument/2006/relationships/hyperlink" Target="https://www.sec.gov/Archives/edgar/data/2488/000000248826000018/0000002488-26-000018-index.htm" TargetMode="External" Id="rId7" /><Relationship Type="http://schemas.openxmlformats.org/officeDocument/2006/relationships/hyperlink" Target="https://www.sec.gov/Archives/edgar/data/1730168/000173016825000121/0001730168-25-000121-index.htm" TargetMode="External" Id="rId8" /><Relationship Type="http://schemas.openxmlformats.org/officeDocument/2006/relationships/hyperlink" Target="https://www.sec.gov/Archives/edgar/data/1835632/000183563226000011/0001835632-26-000011-index.htm" TargetMode="External" Id="rId9" /><Relationship Type="http://schemas.openxmlformats.org/officeDocument/2006/relationships/hyperlink" Target="https://www.sec.gov/Archives/edgar/data/50863/000005086326000011/0000050863-26-000011-index.htm" TargetMode="External" Id="rId10" /><Relationship Type="http://schemas.openxmlformats.org/officeDocument/2006/relationships/hyperlink" Target="https://www.sec.gov/Archives/edgar/data/1045810/000104581026000021/0001045810-26-000021-index.htm" TargetMode="External" Id="rId11" /><Relationship Type="http://schemas.openxmlformats.org/officeDocument/2006/relationships/hyperlink" Target="https://www.sec.gov/Archives/edgar/data/2488/000000248826000018/0000002488-26-000018-index.htm" TargetMode="External" Id="rId12" /><Relationship Type="http://schemas.openxmlformats.org/officeDocument/2006/relationships/hyperlink" Target="https://www.sec.gov/Archives/edgar/data/1730168/000173016825000121/0001730168-25-000121-index.htm" TargetMode="External" Id="rId13" /><Relationship Type="http://schemas.openxmlformats.org/officeDocument/2006/relationships/hyperlink" Target="https://www.sec.gov/Archives/edgar/data/1835632/000183563226000011/0001835632-26-000011-index.htm" TargetMode="External" Id="rId14" /><Relationship Type="http://schemas.openxmlformats.org/officeDocument/2006/relationships/hyperlink" Target="https://www.sec.gov/Archives/edgar/data/50863/000005086326000011/0000050863-26-000011-index.htm" TargetMode="External" Id="rId15" /><Relationship Type="http://schemas.openxmlformats.org/officeDocument/2006/relationships/hyperlink" Target="https://www.sec.gov/Archives/edgar/data/1045810/000104581025000023/0001045810-25-000023-index.htm" TargetMode="External" Id="rId16" /><Relationship Type="http://schemas.openxmlformats.org/officeDocument/2006/relationships/hyperlink" Target="https://www.sec.gov/Archives/edgar/data/2488/000000248826000018/0000002488-26-000018-index.htm" TargetMode="External" Id="rId17" /><Relationship Type="http://schemas.openxmlformats.org/officeDocument/2006/relationships/hyperlink" Target="https://www.sec.gov/Archives/edgar/data/50863/000005086326000011/0000050863-26-000011-index.htm" TargetMode="External" Id="rId18" /><Relationship Type="http://schemas.openxmlformats.org/officeDocument/2006/relationships/hyperlink" Target="https://www.sec.gov/Archives/edgar/data/1045810/000104581026000021/0001045810-26-000021-index.htm" TargetMode="External" Id="rId19" /><Relationship Type="http://schemas.openxmlformats.org/officeDocument/2006/relationships/hyperlink" Target="https://www.sec.gov/Archives/edgar/data/2488/000000248826000018/0000002488-26-000018-index.htm" TargetMode="External" Id="rId20" /><Relationship Type="http://schemas.openxmlformats.org/officeDocument/2006/relationships/hyperlink" Target="https://www.sec.gov/Archives/edgar/data/1730168/000173016825000121/0001730168-25-000121-index.htm" TargetMode="External" Id="rId21" /><Relationship Type="http://schemas.openxmlformats.org/officeDocument/2006/relationships/hyperlink" Target="https://www.sec.gov/Archives/edgar/data/1835632/000183563226000011/0001835632-26-000011-index.htm" TargetMode="External" Id="rId22" /><Relationship Type="http://schemas.openxmlformats.org/officeDocument/2006/relationships/hyperlink" Target="https://www.sec.gov/Archives/edgar/data/50863/000005086326000011/0000050863-26-000011-index.htm" TargetMode="External" Id="rId23" /><Relationship Type="http://schemas.openxmlformats.org/officeDocument/2006/relationships/hyperlink" Target="https://www.sec.gov/Archives/edgar/data/1045810/000104581026000021/0001045810-26-000021-index.htm" TargetMode="External" Id="rId24" /><Relationship Type="http://schemas.openxmlformats.org/officeDocument/2006/relationships/hyperlink" Target="https://www.sec.gov/Archives/edgar/data/2488/000000248826000018/0000002488-26-000018-index.htm" TargetMode="External" Id="rId25" /><Relationship Type="http://schemas.openxmlformats.org/officeDocument/2006/relationships/hyperlink" Target="https://www.sec.gov/Archives/edgar/data/1730168/000173016825000121/0001730168-25-000121-index.htm" TargetMode="External" Id="rId26" /><Relationship Type="http://schemas.openxmlformats.org/officeDocument/2006/relationships/hyperlink" Target="https://www.sec.gov/Archives/edgar/data/1835632/000183563226000011/0001835632-26-000011-index.htm" TargetMode="External" Id="rId27" /><Relationship Type="http://schemas.openxmlformats.org/officeDocument/2006/relationships/hyperlink" Target="https://www.sec.gov/Archives/edgar/data/50863/000005086326000011/0000050863-26-000011-index.htm" TargetMode="External" Id="rId28" /><Relationship Type="http://schemas.openxmlformats.org/officeDocument/2006/relationships/hyperlink" Target="https://www.sec.gov/Archives/edgar/data/1045810/000104581026000021/0001045810-26-000021-index.htm" TargetMode="External" Id="rId29" /><Relationship Type="http://schemas.openxmlformats.org/officeDocument/2006/relationships/hyperlink" Target="https://www.sec.gov/Archives/edgar/data/2488/000000248826000018/0000002488-26-000018-index.htm" TargetMode="External" Id="rId30" /><Relationship Type="http://schemas.openxmlformats.org/officeDocument/2006/relationships/hyperlink" Target="https://www.sec.gov/Archives/edgar/data/1730168/000173016825000121/0001730168-25-000121-index.htm" TargetMode="External" Id="rId31" /><Relationship Type="http://schemas.openxmlformats.org/officeDocument/2006/relationships/hyperlink" Target="https://www.sec.gov/Archives/edgar/data/1835632/000183563226000011/0001835632-26-000011-index.htm" TargetMode="External" Id="rId32" /><Relationship Type="http://schemas.openxmlformats.org/officeDocument/2006/relationships/hyperlink" Target="https://www.sec.gov/Archives/edgar/data/50863/000005086326000011/0000050863-26-000011-index.htm" TargetMode="External" Id="rId33" /><Relationship Type="http://schemas.openxmlformats.org/officeDocument/2006/relationships/hyperlink" Target="https://www.sec.gov/Archives/edgar/data/1045810/000104581026000021/0001045810-26-000021-index.htm" TargetMode="External" Id="rId34" /><Relationship Type="http://schemas.openxmlformats.org/officeDocument/2006/relationships/hyperlink" Target="https://www.sec.gov/Archives/edgar/data/2488/000000248826000018/0000002488-26-000018-index.htm" TargetMode="External" Id="rId35" /><Relationship Type="http://schemas.openxmlformats.org/officeDocument/2006/relationships/hyperlink" Target="https://www.sec.gov/Archives/edgar/data/1730168/000173016825000121/0001730168-25-000121-index.htm" TargetMode="External" Id="rId36" /><Relationship Type="http://schemas.openxmlformats.org/officeDocument/2006/relationships/hyperlink" Target="https://www.sec.gov/Archives/edgar/data/1835632/000183563226000011/0001835632-26-000011-index.htm" TargetMode="External" Id="rId37" /><Relationship Type="http://schemas.openxmlformats.org/officeDocument/2006/relationships/hyperlink" Target="https://www.sec.gov/Archives/edgar/data/50863/000005086326000011/0000050863-26-000011-index.htm" TargetMode="External" Id="rId38" /><Relationship Type="http://schemas.openxmlformats.org/officeDocument/2006/relationships/hyperlink" Target="https://www.sec.gov/Archives/edgar/data/1045810/000104581026000021/0001045810-26-000021-index.htm" TargetMode="External" Id="rId39" /><Relationship Type="http://schemas.openxmlformats.org/officeDocument/2006/relationships/hyperlink" Target="https://www.sec.gov/Archives/edgar/data/2488/000000248826000018/0000002488-26-000018-index.htm" TargetMode="External" Id="rId40" /><Relationship Type="http://schemas.openxmlformats.org/officeDocument/2006/relationships/hyperlink" Target="https://www.sec.gov/Archives/edgar/data/1730168/000173016825000121/0001730168-25-000121-index.htm" TargetMode="External" Id="rId41" /><Relationship Type="http://schemas.openxmlformats.org/officeDocument/2006/relationships/hyperlink" Target="https://www.sec.gov/Archives/edgar/data/1835632/000183563226000011/0001835632-26-000011-index.htm" TargetMode="External" Id="rId42" /><Relationship Type="http://schemas.openxmlformats.org/officeDocument/2006/relationships/hyperlink" Target="https://www.sec.gov/Archives/edgar/data/50863/000005086326000011/0000050863-26-000011-index.htm" TargetMode="External" Id="rId43" /><Relationship Type="http://schemas.openxmlformats.org/officeDocument/2006/relationships/hyperlink" Target="https://www.sec.gov/Archives/edgar/data/1045810/000104581026000021/0001045810-26-000021-index.htm" TargetMode="External" Id="rId44" /><Relationship Type="http://schemas.openxmlformats.org/officeDocument/2006/relationships/hyperlink" Target="https://www.sec.gov/Archives/edgar/data/2488/000000248826000018/0000002488-26-000018-index.htm" TargetMode="External" Id="rId45" /><Relationship Type="http://schemas.openxmlformats.org/officeDocument/2006/relationships/hyperlink" Target="https://www.sec.gov/Archives/edgar/data/1730168/000173016825000121/0001730168-25-000121-index.htm" TargetMode="External" Id="rId46" /><Relationship Type="http://schemas.openxmlformats.org/officeDocument/2006/relationships/hyperlink" Target="https://www.sec.gov/Archives/edgar/data/1835632/000183563226000011/0001835632-26-000011-index.htm" TargetMode="External" Id="rId47" /><Relationship Type="http://schemas.openxmlformats.org/officeDocument/2006/relationships/hyperlink" Target="https://www.sec.gov/Archives/edgar/data/50863/000005086326000011/0000050863-26-000011-index.htm" TargetMode="External" Id="rId48" /><Relationship Type="http://schemas.openxmlformats.org/officeDocument/2006/relationships/drawing" Target="/xl/drawings/drawing4.xml" Id="rId4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Trading Comparables — NVDA</t>
        </is>
      </c>
    </row>
    <row r="6">
      <c r="B6" s="3" t="inlineStr">
        <is>
          <t>Produced by the L3VLUP Comps Set Builder skill</t>
        </is>
      </c>
    </row>
    <row r="7">
      <c r="B7" s="3" t="inlineStr">
        <is>
          <t>Generated 17 October 2026 at 19:07 UTC</t>
        </is>
      </c>
    </row>
    <row r="9">
      <c r="B9" s="4" t="inlineStr">
        <is>
          <t>What this is</t>
        </is>
      </c>
      <c r="C9" s="5" t="n"/>
      <c r="D9" s="5" t="n"/>
      <c r="E9" s="5" t="n"/>
      <c r="F9" s="5" t="n"/>
      <c r="G9" s="5" t="n"/>
      <c r="H9" s="5" t="n"/>
      <c r="I9" s="5" t="n"/>
    </row>
    <row r="10" ht="52" customHeight="1">
      <c r="B10" s="6" t="inlineStr">
        <is>
          <t>A trading-comparables sheet for NVDA against 4 peers. Fundamentals come from each filer’s own filings; every multiple, median and mean is a live formula, so changing one price moves the whole sheet. The Inclusion tab is the part that matters: fill in why each name belongs, which names you rejected, and every adjustment you made, before showing this to anyone.</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65" customHeight="1">
      <c r="B21" s="6" t="inlineStr">
        <is>
          <t>Revenue, EBITDA inputs, debt, cash and share counts come from each company’s SEC filings. Share price and forward consensus are NOT filing data: they are shaded input cells for you to fill from your own licensed feed. The workbook will not guess a price and then print a multiple off it. EBITDA is built in the sheet from operating income plus D&amp;A, because EBITDA is not a GAAP tag and any figure claiming to be one is somebody’s adjustment.</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l3vlup.com/skills/comps-set-builder</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63"/>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NVDA comparable companies</t>
        </is>
      </c>
    </row>
    <row r="5">
      <c r="B5" s="10" t="inlineStr">
        <is>
          <t>Trading comparables</t>
        </is>
      </c>
    </row>
    <row r="6">
      <c r="B6" s="11" t="inlineStr">
        <is>
          <t>Fundamentals from SEC filings · price and forward consensus are your inputs, shaded</t>
        </is>
      </c>
    </row>
    <row r="7">
      <c r="B7" s="11" t="inlineStr">
        <is>
          <t>($ in millions, except per share)</t>
        </is>
      </c>
      <c r="D7" s="12" t="inlineStr">
        <is>
          <t>Comparable companies</t>
        </is>
      </c>
    </row>
    <row r="8">
      <c r="D8" s="13" t="inlineStr">
        <is>
          <t>NVDA</t>
        </is>
      </c>
      <c r="E8" s="13" t="inlineStr">
        <is>
          <t>AMD</t>
        </is>
      </c>
      <c r="F8" s="13" t="inlineStr">
        <is>
          <t>AVGO</t>
        </is>
      </c>
      <c r="G8" s="13" t="inlineStr">
        <is>
          <t>MRVL</t>
        </is>
      </c>
      <c r="H8" s="13" t="inlineStr">
        <is>
          <t>INTC</t>
        </is>
      </c>
      <c r="J8" s="14" t="inlineStr">
        <is>
          <t>Src</t>
        </is>
      </c>
    </row>
    <row r="9">
      <c r="B9" s="4" t="inlineStr">
        <is>
          <t>Market</t>
        </is>
      </c>
      <c r="D9" s="5" t="n"/>
      <c r="E9" s="5" t="n"/>
      <c r="F9" s="5" t="n"/>
      <c r="G9" s="5" t="n"/>
      <c r="H9" s="5" t="n"/>
    </row>
    <row r="10">
      <c r="B10" s="15" t="inlineStr">
        <is>
          <t>Share price (input)</t>
        </is>
      </c>
      <c r="D10" s="16" t="inlineStr">
        <is>
          <t>—</t>
        </is>
      </c>
      <c r="E10" s="16" t="inlineStr">
        <is>
          <t>—</t>
        </is>
      </c>
      <c r="F10" s="16" t="inlineStr">
        <is>
          <t>—</t>
        </is>
      </c>
      <c r="G10" s="16" t="inlineStr">
        <is>
          <t>—</t>
        </is>
      </c>
      <c r="H10" s="16" t="inlineStr">
        <is>
          <t>—</t>
        </is>
      </c>
    </row>
    <row r="11">
      <c r="B11" s="15" t="inlineStr">
        <is>
          <t>Diluted shares outstanding</t>
        </is>
      </c>
      <c r="D11" s="17" t="n">
        <v>24514000000</v>
      </c>
      <c r="E11" s="17" t="n">
        <v>1636000000</v>
      </c>
      <c r="F11" s="17" t="n">
        <v>4853000000</v>
      </c>
      <c r="G11" s="17" t="n">
        <v>869700000</v>
      </c>
      <c r="H11" s="17" t="n">
        <v>4530000000</v>
      </c>
      <c r="J11" s="18" t="inlineStr">
        <is>
          <t>[1][2][3][4][5]</t>
        </is>
      </c>
    </row>
    <row r="12">
      <c r="B12" s="19" t="inlineStr">
        <is>
          <t>Market capitalisation</t>
        </is>
      </c>
      <c r="D12" s="20">
        <f>IFERROR(D10*D11,"")</f>
        <v/>
      </c>
      <c r="E12" s="20">
        <f>IFERROR(E10*E11,"")</f>
        <v/>
      </c>
      <c r="F12" s="20">
        <f>IFERROR(F10*F11,"")</f>
        <v/>
      </c>
      <c r="G12" s="20">
        <f>IFERROR(G10*G11,"")</f>
        <v/>
      </c>
      <c r="H12" s="20">
        <f>IFERROR(H10*H11,"")</f>
        <v/>
      </c>
    </row>
    <row r="14">
      <c r="B14" s="4" t="inlineStr">
        <is>
          <t>Capital structure (as filed)</t>
        </is>
      </c>
      <c r="D14" s="5" t="n"/>
      <c r="E14" s="5" t="n"/>
      <c r="F14" s="5" t="n"/>
      <c r="G14" s="5" t="n"/>
      <c r="H14" s="5" t="n"/>
    </row>
    <row r="15">
      <c r="B15" s="15" t="inlineStr">
        <is>
          <t>Total debt</t>
        </is>
      </c>
      <c r="D15" s="21" t="n">
        <v>9467000000</v>
      </c>
      <c r="E15" s="21" t="n">
        <v>4124000000</v>
      </c>
      <c r="F15" s="21" t="n">
        <v>70272000000</v>
      </c>
      <c r="G15" s="21" t="n">
        <v>4470600000</v>
      </c>
      <c r="H15" s="21" t="n">
        <v>46585000000</v>
      </c>
      <c r="J15" s="18" t="inlineStr">
        <is>
          <t>[6][7][8][9][10]</t>
        </is>
      </c>
    </row>
    <row r="16">
      <c r="B16" s="15" t="inlineStr">
        <is>
          <t>Cash and equivalents</t>
        </is>
      </c>
      <c r="D16" s="21" t="n">
        <v>10605000000</v>
      </c>
      <c r="E16" s="21" t="n">
        <v>5539000000</v>
      </c>
      <c r="F16" s="21" t="n">
        <v>16178000000</v>
      </c>
      <c r="G16" s="21" t="n">
        <v>2638800000</v>
      </c>
      <c r="H16" s="21" t="n">
        <v>14265000000</v>
      </c>
      <c r="J16" s="18" t="inlineStr">
        <is>
          <t>[11][12][13][14][15]</t>
        </is>
      </c>
    </row>
    <row r="17">
      <c r="B17" s="15" t="inlineStr">
        <is>
          <t>Short-term investments</t>
        </is>
      </c>
      <c r="D17" s="21" t="n">
        <v>34621000000</v>
      </c>
      <c r="E17" s="21" t="n">
        <v>5013000000</v>
      </c>
      <c r="F17" s="22" t="inlineStr">
        <is>
          <t>—</t>
        </is>
      </c>
      <c r="G17" s="22" t="inlineStr">
        <is>
          <t>—</t>
        </is>
      </c>
      <c r="H17" s="21" t="n">
        <v>23151000000</v>
      </c>
      <c r="J17" s="18" t="inlineStr">
        <is>
          <t>[16][17][18]</t>
        </is>
      </c>
    </row>
    <row r="18">
      <c r="B18" s="19" t="inlineStr">
        <is>
          <t>Net debt / (net cash)</t>
        </is>
      </c>
      <c r="D18" s="20">
        <f>IFERROR(D15-D16-D17,"")</f>
        <v/>
      </c>
      <c r="E18" s="20">
        <f>IFERROR(E15-E16-E17,"")</f>
        <v/>
      </c>
      <c r="F18" s="20">
        <f>IFERROR(F15-F16-F17,"")</f>
        <v/>
      </c>
      <c r="G18" s="20">
        <f>IFERROR(G15-G16-G17,"")</f>
        <v/>
      </c>
      <c r="H18" s="20">
        <f>IFERROR(H15-H16-H17,"")</f>
        <v/>
      </c>
    </row>
    <row r="19">
      <c r="B19" s="19" t="inlineStr">
        <is>
          <t>Enterprise value</t>
        </is>
      </c>
      <c r="D19" s="20">
        <f>IFERROR(D12+D18,"")</f>
        <v/>
      </c>
      <c r="E19" s="20">
        <f>IFERROR(E12+E18,"")</f>
        <v/>
      </c>
      <c r="F19" s="20">
        <f>IFERROR(F12+F18,"")</f>
        <v/>
      </c>
      <c r="G19" s="20">
        <f>IFERROR(G12+G18,"")</f>
        <v/>
      </c>
      <c r="H19" s="20">
        <f>IFERROR(H12+H18,"")</f>
        <v/>
      </c>
    </row>
    <row r="21">
      <c r="B21" s="4" t="inlineStr">
        <is>
          <t>Operating (latest fiscal year as filed)</t>
        </is>
      </c>
      <c r="D21" s="5" t="n"/>
      <c r="E21" s="5" t="n"/>
      <c r="F21" s="5" t="n"/>
      <c r="G21" s="5" t="n"/>
      <c r="H21" s="5" t="n"/>
    </row>
    <row r="22">
      <c r="B22" s="3" t="inlineStr">
        <is>
          <t>Fiscal year end</t>
        </is>
      </c>
      <c r="D22" s="23" t="inlineStr">
        <is>
          <t>Jan</t>
        </is>
      </c>
      <c r="E22" s="23" t="inlineStr">
        <is>
          <t>Dec</t>
        </is>
      </c>
      <c r="F22" s="23" t="inlineStr">
        <is>
          <t>Nov</t>
        </is>
      </c>
      <c r="G22" s="23" t="inlineStr">
        <is>
          <t>Jan</t>
        </is>
      </c>
      <c r="H22" s="23" t="inlineStr">
        <is>
          <t>Dec</t>
        </is>
      </c>
    </row>
    <row r="23">
      <c r="B23" s="3" t="inlineStr">
        <is>
          <t>Period covered</t>
        </is>
      </c>
      <c r="D23" s="23" t="inlineStr">
        <is>
          <t>FY2026</t>
        </is>
      </c>
      <c r="E23" s="23" t="inlineStr">
        <is>
          <t>FY2025</t>
        </is>
      </c>
      <c r="F23" s="23" t="inlineStr">
        <is>
          <t>FY2025</t>
        </is>
      </c>
      <c r="G23" s="23" t="inlineStr">
        <is>
          <t>FY2026</t>
        </is>
      </c>
      <c r="H23" s="23" t="inlineStr">
        <is>
          <t>FY2025</t>
        </is>
      </c>
    </row>
    <row r="24">
      <c r="B24" s="15" t="inlineStr">
        <is>
          <t>Revenue</t>
        </is>
      </c>
      <c r="D24" s="21" t="n">
        <v>215938000000</v>
      </c>
      <c r="E24" s="21" t="n">
        <v>34639000000</v>
      </c>
      <c r="F24" s="21" t="n">
        <v>63887000000</v>
      </c>
      <c r="G24" s="21" t="n">
        <v>8194600000</v>
      </c>
      <c r="H24" s="21" t="n">
        <v>52853000000</v>
      </c>
      <c r="J24" s="18" t="inlineStr">
        <is>
          <t>[19][20][21][22][23]</t>
        </is>
      </c>
    </row>
    <row r="25">
      <c r="B25" s="15" t="inlineStr">
        <is>
          <t>Gross profit</t>
        </is>
      </c>
      <c r="D25" s="21" t="n">
        <v>153463000000</v>
      </c>
      <c r="E25" s="21" t="n">
        <v>17152000000</v>
      </c>
      <c r="F25" s="21" t="n">
        <v>43294000000</v>
      </c>
      <c r="G25" s="21" t="n">
        <v>4180700000</v>
      </c>
      <c r="H25" s="21" t="n">
        <v>18375000000</v>
      </c>
      <c r="J25" s="18" t="inlineStr">
        <is>
          <t>[24][25][26][27][28]</t>
        </is>
      </c>
    </row>
    <row r="26">
      <c r="B26" s="3" t="inlineStr">
        <is>
          <t xml:space="preserve">    % gross margin</t>
        </is>
      </c>
      <c r="D26" s="24">
        <f>IFERROR(D25/D24,"")</f>
        <v/>
      </c>
      <c r="E26" s="24">
        <f>IFERROR(E25/E24,"")</f>
        <v/>
      </c>
      <c r="F26" s="24">
        <f>IFERROR(F25/F24,"")</f>
        <v/>
      </c>
      <c r="G26" s="24">
        <f>IFERROR(G25/G24,"")</f>
        <v/>
      </c>
      <c r="H26" s="24">
        <f>IFERROR(H25/H24,"")</f>
        <v/>
      </c>
    </row>
    <row r="27">
      <c r="B27" s="15" t="inlineStr">
        <is>
          <t>Operating income</t>
        </is>
      </c>
      <c r="D27" s="21" t="n">
        <v>130387000000</v>
      </c>
      <c r="E27" s="21" t="n">
        <v>3694000000</v>
      </c>
      <c r="F27" s="21" t="n">
        <v>25484000000</v>
      </c>
      <c r="G27" s="21" t="n">
        <v>1322900000</v>
      </c>
      <c r="H27" s="21" t="n">
        <v>-2214000000</v>
      </c>
      <c r="J27" s="18" t="inlineStr">
        <is>
          <t>[29][30][31][32][33]</t>
        </is>
      </c>
    </row>
    <row r="28">
      <c r="B28" s="15" t="inlineStr">
        <is>
          <t>Depreciation and amortisation</t>
        </is>
      </c>
      <c r="D28" s="21" t="n">
        <v>2400000000</v>
      </c>
      <c r="E28" s="21" t="n">
        <v>521000000</v>
      </c>
      <c r="F28" s="21" t="n">
        <v>574000000</v>
      </c>
      <c r="G28" s="21" t="n">
        <v>221700000</v>
      </c>
      <c r="H28" s="21" t="n">
        <v>10757000000</v>
      </c>
      <c r="J28" s="18" t="inlineStr">
        <is>
          <t>[34][35][36][37][38]</t>
        </is>
      </c>
    </row>
    <row r="29">
      <c r="B29" s="19" t="inlineStr">
        <is>
          <t>EBITDA</t>
        </is>
      </c>
      <c r="D29" s="20">
        <f>IFERROR(D27+D28,"")</f>
        <v/>
      </c>
      <c r="E29" s="20">
        <f>IFERROR(E27+E28,"")</f>
        <v/>
      </c>
      <c r="F29" s="20">
        <f>IFERROR(F27+F28,"")</f>
        <v/>
      </c>
      <c r="G29" s="20">
        <f>IFERROR(G27+G28,"")</f>
        <v/>
      </c>
      <c r="H29" s="20">
        <f>IFERROR(H27+H28,"")</f>
        <v/>
      </c>
    </row>
    <row r="30">
      <c r="B30" s="3" t="inlineStr">
        <is>
          <t xml:space="preserve">    % EBITDA margin</t>
        </is>
      </c>
      <c r="D30" s="24">
        <f>IFERROR(D29/D24,"")</f>
        <v/>
      </c>
      <c r="E30" s="24">
        <f>IFERROR(E29/E24,"")</f>
        <v/>
      </c>
      <c r="F30" s="24">
        <f>IFERROR(F29/F24,"")</f>
        <v/>
      </c>
      <c r="G30" s="24">
        <f>IFERROR(G29/G24,"")</f>
        <v/>
      </c>
      <c r="H30" s="24">
        <f>IFERROR(H29/H24,"")</f>
        <v/>
      </c>
    </row>
    <row r="31">
      <c r="B31" s="15" t="inlineStr">
        <is>
          <t>Net income</t>
        </is>
      </c>
      <c r="D31" s="21" t="n">
        <v>120067000000</v>
      </c>
      <c r="E31" s="21" t="n">
        <v>4335000000</v>
      </c>
      <c r="F31" s="21" t="n">
        <v>23126000000</v>
      </c>
      <c r="G31" s="21" t="n">
        <v>2670100000</v>
      </c>
      <c r="H31" s="21" t="n">
        <v>-267000000</v>
      </c>
      <c r="J31" s="18" t="inlineStr">
        <is>
          <t>[39][40][41][42][43]</t>
        </is>
      </c>
    </row>
    <row r="32">
      <c r="B32" s="15" t="inlineStr">
        <is>
          <t>Diluted EPS</t>
        </is>
      </c>
      <c r="D32" s="25" t="n">
        <v>4.9</v>
      </c>
      <c r="E32" s="25" t="n">
        <v>2.65</v>
      </c>
      <c r="F32" s="25" t="n">
        <v>4.77</v>
      </c>
      <c r="G32" s="25" t="n">
        <v>3.07</v>
      </c>
      <c r="H32" s="25" t="n">
        <v>-0.06</v>
      </c>
      <c r="J32" s="18" t="inlineStr">
        <is>
          <t>[44][45][46][47][48]</t>
        </is>
      </c>
    </row>
    <row r="34">
      <c r="B34" s="4" t="inlineStr">
        <is>
          <t>Trailing multiples</t>
        </is>
      </c>
      <c r="D34" s="5" t="n"/>
      <c r="E34" s="5" t="n"/>
      <c r="F34" s="5" t="n"/>
      <c r="G34" s="5" t="n"/>
      <c r="H34" s="5" t="n"/>
    </row>
    <row r="35">
      <c r="B35" s="15" t="inlineStr">
        <is>
          <t>EV / Revenue</t>
        </is>
      </c>
      <c r="D35" s="26">
        <f>IFERROR(D19/D24,"")</f>
        <v/>
      </c>
      <c r="E35" s="26">
        <f>IFERROR(E19/E24,"")</f>
        <v/>
      </c>
      <c r="F35" s="26">
        <f>IFERROR(F19/F24,"")</f>
        <v/>
      </c>
      <c r="G35" s="26">
        <f>IFERROR(G19/G24,"")</f>
        <v/>
      </c>
      <c r="H35" s="26">
        <f>IFERROR(H19/H24,"")</f>
        <v/>
      </c>
    </row>
    <row r="36">
      <c r="B36" s="15" t="inlineStr">
        <is>
          <t>EV / EBITDA</t>
        </is>
      </c>
      <c r="D36" s="26">
        <f>IFERROR(D19/D29,"")</f>
        <v/>
      </c>
      <c r="E36" s="26">
        <f>IFERROR(E19/E29,"")</f>
        <v/>
      </c>
      <c r="F36" s="26">
        <f>IFERROR(F19/F29,"")</f>
        <v/>
      </c>
      <c r="G36" s="26">
        <f>IFERROR(G19/G29,"")</f>
        <v/>
      </c>
      <c r="H36" s="26">
        <f>IFERROR(H19/H29,"")</f>
        <v/>
      </c>
    </row>
    <row r="37">
      <c r="B37" s="15" t="inlineStr">
        <is>
          <t>P / E</t>
        </is>
      </c>
      <c r="D37" s="26">
        <f>IFERROR(D10/D32,"")</f>
        <v/>
      </c>
      <c r="E37" s="26">
        <f>IFERROR(E10/E32,"")</f>
        <v/>
      </c>
      <c r="F37" s="26">
        <f>IFERROR(F10/F32,"")</f>
        <v/>
      </c>
      <c r="G37" s="26">
        <f>IFERROR(G10/G32,"")</f>
        <v/>
      </c>
      <c r="H37" s="26">
        <f>IFERROR(H10/H32,"")</f>
        <v/>
      </c>
    </row>
    <row r="39">
      <c r="B39" s="4" t="inlineStr">
        <is>
          <t>Forward consensus (your input — not from filings)</t>
        </is>
      </c>
      <c r="D39" s="5" t="n"/>
      <c r="E39" s="5" t="n"/>
      <c r="F39" s="5" t="n"/>
      <c r="G39" s="5" t="n"/>
      <c r="H39" s="5" t="n"/>
    </row>
    <row r="40">
      <c r="B40" s="15" t="inlineStr">
        <is>
          <t>NTM revenue (input)</t>
        </is>
      </c>
      <c r="D40" s="27" t="inlineStr">
        <is>
          <t>—</t>
        </is>
      </c>
      <c r="E40" s="27" t="inlineStr">
        <is>
          <t>—</t>
        </is>
      </c>
      <c r="F40" s="27" t="inlineStr">
        <is>
          <t>—</t>
        </is>
      </c>
      <c r="G40" s="27" t="inlineStr">
        <is>
          <t>—</t>
        </is>
      </c>
      <c r="H40" s="27" t="inlineStr">
        <is>
          <t>—</t>
        </is>
      </c>
    </row>
    <row r="41">
      <c r="B41" s="15" t="inlineStr">
        <is>
          <t>NTM EBITDA (input)</t>
        </is>
      </c>
      <c r="D41" s="27" t="inlineStr">
        <is>
          <t>—</t>
        </is>
      </c>
      <c r="E41" s="27" t="inlineStr">
        <is>
          <t>—</t>
        </is>
      </c>
      <c r="F41" s="27" t="inlineStr">
        <is>
          <t>—</t>
        </is>
      </c>
      <c r="G41" s="27" t="inlineStr">
        <is>
          <t>—</t>
        </is>
      </c>
      <c r="H41" s="27" t="inlineStr">
        <is>
          <t>—</t>
        </is>
      </c>
    </row>
    <row r="42">
      <c r="B42" s="15" t="inlineStr">
        <is>
          <t>NTM EPS (input)</t>
        </is>
      </c>
      <c r="D42" s="16" t="inlineStr">
        <is>
          <t>—</t>
        </is>
      </c>
      <c r="E42" s="16" t="inlineStr">
        <is>
          <t>—</t>
        </is>
      </c>
      <c r="F42" s="16" t="inlineStr">
        <is>
          <t>—</t>
        </is>
      </c>
      <c r="G42" s="16" t="inlineStr">
        <is>
          <t>—</t>
        </is>
      </c>
      <c r="H42" s="16" t="inlineStr">
        <is>
          <t>—</t>
        </is>
      </c>
    </row>
    <row r="43">
      <c r="B43" s="15" t="inlineStr">
        <is>
          <t>EV / NTM revenue</t>
        </is>
      </c>
      <c r="D43" s="26">
        <f>IFERROR(D19/D40,"")</f>
        <v/>
      </c>
      <c r="E43" s="26">
        <f>IFERROR(E19/E40,"")</f>
        <v/>
      </c>
      <c r="F43" s="26">
        <f>IFERROR(F19/F40,"")</f>
        <v/>
      </c>
      <c r="G43" s="26">
        <f>IFERROR(G19/G40,"")</f>
        <v/>
      </c>
      <c r="H43" s="26">
        <f>IFERROR(H19/H40,"")</f>
        <v/>
      </c>
    </row>
    <row r="44">
      <c r="B44" s="15" t="inlineStr">
        <is>
          <t>EV / NTM EBITDA</t>
        </is>
      </c>
      <c r="D44" s="26">
        <f>IFERROR(D19/D41,"")</f>
        <v/>
      </c>
      <c r="E44" s="26">
        <f>IFERROR(E19/E41,"")</f>
        <v/>
      </c>
      <c r="F44" s="26">
        <f>IFERROR(F19/F41,"")</f>
        <v/>
      </c>
      <c r="G44" s="26">
        <f>IFERROR(G19/G41,"")</f>
        <v/>
      </c>
      <c r="H44" s="26">
        <f>IFERROR(H19/H41,"")</f>
        <v/>
      </c>
    </row>
    <row r="45">
      <c r="B45" s="15" t="inlineStr">
        <is>
          <t>Forward P / E</t>
        </is>
      </c>
      <c r="D45" s="26">
        <f>IFERROR(D10/D42,"")</f>
        <v/>
      </c>
      <c r="E45" s="26">
        <f>IFERROR(E10/E42,"")</f>
        <v/>
      </c>
      <c r="F45" s="26">
        <f>IFERROR(F10/F42,"")</f>
        <v/>
      </c>
      <c r="G45" s="26">
        <f>IFERROR(G10/G42,"")</f>
        <v/>
      </c>
      <c r="H45" s="26">
        <f>IFERROR(H10/H42,"")</f>
        <v/>
      </c>
    </row>
    <row r="47">
      <c r="B47" s="4" t="inlineStr">
        <is>
          <t>Set statistics</t>
        </is>
      </c>
      <c r="D47" s="5" t="n"/>
      <c r="E47" s="5" t="n"/>
      <c r="F47" s="5" t="n"/>
      <c r="G47" s="5" t="n"/>
      <c r="H47" s="5" t="n"/>
    </row>
    <row r="48">
      <c r="B48" s="3" t="inlineStr">
        <is>
          <t>Trailing EV / Revenue — median</t>
        </is>
      </c>
      <c r="D48" s="28">
        <f>IFERROR(MEDIAN(D35:H35),"")</f>
        <v/>
      </c>
      <c r="E48" s="29" t="inlineStr">
        <is>
          <t>—</t>
        </is>
      </c>
      <c r="F48" s="29" t="inlineStr">
        <is>
          <t>—</t>
        </is>
      </c>
      <c r="G48" s="29" t="inlineStr">
        <is>
          <t>—</t>
        </is>
      </c>
      <c r="H48" s="29" t="inlineStr">
        <is>
          <t>—</t>
        </is>
      </c>
    </row>
    <row r="49">
      <c r="B49" s="3" t="inlineStr">
        <is>
          <t>Trailing EV / Revenue — mean</t>
        </is>
      </c>
      <c r="D49" s="28">
        <f>IFERROR(AVERAGE(D35:H35),"")</f>
        <v/>
      </c>
      <c r="E49" s="29" t="inlineStr">
        <is>
          <t>—</t>
        </is>
      </c>
      <c r="F49" s="29" t="inlineStr">
        <is>
          <t>—</t>
        </is>
      </c>
      <c r="G49" s="29" t="inlineStr">
        <is>
          <t>—</t>
        </is>
      </c>
      <c r="H49" s="29" t="inlineStr">
        <is>
          <t>—</t>
        </is>
      </c>
    </row>
    <row r="50">
      <c r="B50" s="3" t="inlineStr">
        <is>
          <t>Trailing EV / EBITDA — median</t>
        </is>
      </c>
      <c r="D50" s="28">
        <f>IFERROR(MEDIAN(D36:H36),"")</f>
        <v/>
      </c>
      <c r="E50" s="29" t="inlineStr">
        <is>
          <t>—</t>
        </is>
      </c>
      <c r="F50" s="29" t="inlineStr">
        <is>
          <t>—</t>
        </is>
      </c>
      <c r="G50" s="29" t="inlineStr">
        <is>
          <t>—</t>
        </is>
      </c>
      <c r="H50" s="29" t="inlineStr">
        <is>
          <t>—</t>
        </is>
      </c>
    </row>
    <row r="51">
      <c r="B51" s="3" t="inlineStr">
        <is>
          <t>Trailing EV / EBITDA — mean</t>
        </is>
      </c>
      <c r="D51" s="28">
        <f>IFERROR(AVERAGE(D36:H36),"")</f>
        <v/>
      </c>
      <c r="E51" s="29" t="inlineStr">
        <is>
          <t>—</t>
        </is>
      </c>
      <c r="F51" s="29" t="inlineStr">
        <is>
          <t>—</t>
        </is>
      </c>
      <c r="G51" s="29" t="inlineStr">
        <is>
          <t>—</t>
        </is>
      </c>
      <c r="H51" s="29" t="inlineStr">
        <is>
          <t>—</t>
        </is>
      </c>
    </row>
    <row r="52">
      <c r="B52" s="3" t="inlineStr">
        <is>
          <t>Trailing P / E — median</t>
        </is>
      </c>
      <c r="D52" s="28">
        <f>IFERROR(MEDIAN(D37:H37),"")</f>
        <v/>
      </c>
      <c r="E52" s="29" t="inlineStr">
        <is>
          <t>—</t>
        </is>
      </c>
      <c r="F52" s="29" t="inlineStr">
        <is>
          <t>—</t>
        </is>
      </c>
      <c r="G52" s="29" t="inlineStr">
        <is>
          <t>—</t>
        </is>
      </c>
      <c r="H52" s="29" t="inlineStr">
        <is>
          <t>—</t>
        </is>
      </c>
    </row>
    <row r="53">
      <c r="B53" s="3" t="inlineStr">
        <is>
          <t>Trailing P / E — mean</t>
        </is>
      </c>
      <c r="D53" s="28">
        <f>IFERROR(AVERAGE(D37:H37),"")</f>
        <v/>
      </c>
      <c r="E53" s="29" t="inlineStr">
        <is>
          <t>—</t>
        </is>
      </c>
      <c r="F53" s="29" t="inlineStr">
        <is>
          <t>—</t>
        </is>
      </c>
      <c r="G53" s="29" t="inlineStr">
        <is>
          <t>—</t>
        </is>
      </c>
      <c r="H53" s="29" t="inlineStr">
        <is>
          <t>—</t>
        </is>
      </c>
    </row>
    <row r="54">
      <c r="B54" s="3" t="inlineStr">
        <is>
          <t>Forward EV / Revenue — median</t>
        </is>
      </c>
      <c r="D54" s="28">
        <f>IFERROR(MEDIAN(D43:H43),"")</f>
        <v/>
      </c>
      <c r="E54" s="29" t="inlineStr">
        <is>
          <t>—</t>
        </is>
      </c>
      <c r="F54" s="29" t="inlineStr">
        <is>
          <t>—</t>
        </is>
      </c>
      <c r="G54" s="29" t="inlineStr">
        <is>
          <t>—</t>
        </is>
      </c>
      <c r="H54" s="29" t="inlineStr">
        <is>
          <t>—</t>
        </is>
      </c>
    </row>
    <row r="55">
      <c r="B55" s="3" t="inlineStr">
        <is>
          <t>Forward EV / Revenue — mean</t>
        </is>
      </c>
      <c r="D55" s="28">
        <f>IFERROR(AVERAGE(D43:H43),"")</f>
        <v/>
      </c>
      <c r="E55" s="29" t="inlineStr">
        <is>
          <t>—</t>
        </is>
      </c>
      <c r="F55" s="29" t="inlineStr">
        <is>
          <t>—</t>
        </is>
      </c>
      <c r="G55" s="29" t="inlineStr">
        <is>
          <t>—</t>
        </is>
      </c>
      <c r="H55" s="29" t="inlineStr">
        <is>
          <t>—</t>
        </is>
      </c>
    </row>
    <row r="56">
      <c r="B56" s="3" t="inlineStr">
        <is>
          <t>Forward EV / EBITDA — median</t>
        </is>
      </c>
      <c r="D56" s="28">
        <f>IFERROR(MEDIAN(D44:H44),"")</f>
        <v/>
      </c>
      <c r="E56" s="29" t="inlineStr">
        <is>
          <t>—</t>
        </is>
      </c>
      <c r="F56" s="29" t="inlineStr">
        <is>
          <t>—</t>
        </is>
      </c>
      <c r="G56" s="29" t="inlineStr">
        <is>
          <t>—</t>
        </is>
      </c>
      <c r="H56" s="29" t="inlineStr">
        <is>
          <t>—</t>
        </is>
      </c>
    </row>
    <row r="57">
      <c r="B57" s="3" t="inlineStr">
        <is>
          <t>Forward EV / EBITDA — mean</t>
        </is>
      </c>
      <c r="D57" s="28">
        <f>IFERROR(AVERAGE(D44:H44),"")</f>
        <v/>
      </c>
      <c r="E57" s="29" t="inlineStr">
        <is>
          <t>—</t>
        </is>
      </c>
      <c r="F57" s="29" t="inlineStr">
        <is>
          <t>—</t>
        </is>
      </c>
      <c r="G57" s="29" t="inlineStr">
        <is>
          <t>—</t>
        </is>
      </c>
      <c r="H57" s="29" t="inlineStr">
        <is>
          <t>—</t>
        </is>
      </c>
    </row>
    <row r="58">
      <c r="B58" s="3" t="inlineStr">
        <is>
          <t>Forward P / E — median</t>
        </is>
      </c>
      <c r="D58" s="28">
        <f>IFERROR(MEDIAN(D45:H45),"")</f>
        <v/>
      </c>
      <c r="E58" s="29" t="inlineStr">
        <is>
          <t>—</t>
        </is>
      </c>
      <c r="F58" s="29" t="inlineStr">
        <is>
          <t>—</t>
        </is>
      </c>
      <c r="G58" s="29" t="inlineStr">
        <is>
          <t>—</t>
        </is>
      </c>
      <c r="H58" s="29" t="inlineStr">
        <is>
          <t>—</t>
        </is>
      </c>
    </row>
    <row r="59">
      <c r="B59" s="3" t="inlineStr">
        <is>
          <t>Forward P / E — mean</t>
        </is>
      </c>
      <c r="D59" s="28">
        <f>IFERROR(AVERAGE(D45:H45),"")</f>
        <v/>
      </c>
      <c r="E59" s="29" t="inlineStr">
        <is>
          <t>—</t>
        </is>
      </c>
      <c r="F59" s="29" t="inlineStr">
        <is>
          <t>—</t>
        </is>
      </c>
      <c r="G59" s="29" t="inlineStr">
        <is>
          <t>—</t>
        </is>
      </c>
      <c r="H59" s="29" t="inlineStr">
        <is>
          <t>—</t>
        </is>
      </c>
    </row>
    <row r="61">
      <c r="B61" s="30" t="inlineStr">
        <is>
          <t>Shaded blue cells are yours to fill: price and consensus are not filing data, so this workbook will not guess them.</t>
        </is>
      </c>
    </row>
    <row r="62">
      <c r="B62" s="30" t="inlineStr">
        <is>
          <t>Multiples recompute from the cells above. Never hard-code a multiple.</t>
        </is>
      </c>
    </row>
    <row r="63">
      <c r="B63" s="30" t="inlineStr">
        <is>
          <t>CALENDARISATION REQUIRED: these filers do not share a fiscal year end (Dec, Jan, Nov). The multiples above compare different twelve-month windows. Calendarise to a common year end before using them, and say in the footnote which filers were adjusted and how.</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F40"/>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Inclusion and rejection rationale</t>
        </is>
      </c>
    </row>
    <row r="9">
      <c r="B9" s="4" t="inlineStr">
        <is>
          <t>Why each name is in the set</t>
        </is>
      </c>
    </row>
    <row r="10">
      <c r="B10" s="30" t="inlineStr">
        <is>
          <t>Fill the rationale column before you show this to anyone. Business-model similarity, size band, growth band, margin structure and end-market exposure are the five tests that survive scrutiny.</t>
        </is>
      </c>
    </row>
    <row r="12">
      <c r="B12" s="15" t="inlineStr">
        <is>
          <t>NVDA — NVIDIA CORP</t>
        </is>
      </c>
      <c r="D12" s="31" t="inlineStr">
        <is>
          <t>[rationale: business model / size / growth / margins / end market]</t>
        </is>
      </c>
    </row>
    <row r="13">
      <c r="B13" s="15" t="inlineStr">
        <is>
          <t>AMD — ADVANCED MICRO DEVICES INC</t>
        </is>
      </c>
      <c r="D13" s="31" t="inlineStr">
        <is>
          <t>[rationale: business model / size / growth / margins / end market]</t>
        </is>
      </c>
    </row>
    <row r="14">
      <c r="B14" s="15" t="inlineStr">
        <is>
          <t>AVGO — Broadcom Inc.</t>
        </is>
      </c>
      <c r="D14" s="31" t="inlineStr">
        <is>
          <t>[rationale: business model / size / growth / margins / end market]</t>
        </is>
      </c>
    </row>
    <row r="15">
      <c r="B15" s="15" t="inlineStr">
        <is>
          <t>MRVL — MARVELL TECHNOLOGY, INC</t>
        </is>
      </c>
      <c r="D15" s="31" t="inlineStr">
        <is>
          <t>[rationale: business model / size / growth / margins / end market]</t>
        </is>
      </c>
    </row>
    <row r="16">
      <c r="B16" s="15" t="inlineStr">
        <is>
          <t>INTC — INTEL CORP</t>
        </is>
      </c>
      <c r="D16" s="31" t="inlineStr">
        <is>
          <t>[rationale: business model / size / growth / margins / end market]</t>
        </is>
      </c>
    </row>
    <row r="18">
      <c r="B18" s="4" t="inlineStr">
        <is>
          <t>Names considered and rejected</t>
        </is>
      </c>
    </row>
    <row r="19">
      <c r="B19" s="30" t="inlineStr">
        <is>
          <t>An empty rejection list is a red flag. If you did not reject anyone, you did not build a set, you took a sector list.</t>
        </is>
      </c>
    </row>
    <row r="20">
      <c r="B20" s="15" t="inlineStr">
        <is>
          <t>[rejected ticker]</t>
        </is>
      </c>
      <c r="D20" s="31" t="inlineStr">
        <is>
          <t>[reason for rejection]</t>
        </is>
      </c>
    </row>
    <row r="21">
      <c r="B21" s="15" t="inlineStr">
        <is>
          <t>[rejected ticker]</t>
        </is>
      </c>
      <c r="D21" s="31" t="inlineStr">
        <is>
          <t>[reason for rejection]</t>
        </is>
      </c>
    </row>
    <row r="22">
      <c r="B22" s="15" t="inlineStr">
        <is>
          <t>[rejected ticker]</t>
        </is>
      </c>
      <c r="D22" s="31" t="inlineStr">
        <is>
          <t>[reason for rejection]</t>
        </is>
      </c>
    </row>
    <row r="23">
      <c r="B23" s="15" t="inlineStr">
        <is>
          <t>[rejected ticker]</t>
        </is>
      </c>
      <c r="D23" s="31" t="inlineStr">
        <is>
          <t>[reason for rejection]</t>
        </is>
      </c>
    </row>
    <row r="24">
      <c r="B24" s="15" t="inlineStr">
        <is>
          <t>[rejected ticker]</t>
        </is>
      </c>
      <c r="D24" s="31" t="inlineStr">
        <is>
          <t>[reason for rejection]</t>
        </is>
      </c>
    </row>
    <row r="25">
      <c r="B25" s="15" t="inlineStr">
        <is>
          <t>[rejected ticker]</t>
        </is>
      </c>
      <c r="D25" s="31" t="inlineStr">
        <is>
          <t>[reason for rejection]</t>
        </is>
      </c>
    </row>
    <row r="27">
      <c r="B27" s="4" t="inlineStr">
        <is>
          <t>Calendarisation</t>
        </is>
      </c>
    </row>
    <row r="28">
      <c r="B28" s="15" t="inlineStr">
        <is>
          <t>NVDA</t>
        </is>
      </c>
      <c r="D28" s="31" t="inlineStr">
        <is>
          <t>Fiscal year ends Jan · latest period FY2026</t>
        </is>
      </c>
    </row>
    <row r="29">
      <c r="B29" s="15" t="inlineStr">
        <is>
          <t>AMD</t>
        </is>
      </c>
      <c r="D29" s="31" t="inlineStr">
        <is>
          <t>Fiscal year ends Dec · latest period FY2025</t>
        </is>
      </c>
    </row>
    <row r="30">
      <c r="B30" s="15" t="inlineStr">
        <is>
          <t>AVGO</t>
        </is>
      </c>
      <c r="D30" s="31" t="inlineStr">
        <is>
          <t>Fiscal year ends Nov · latest period FY2025</t>
        </is>
      </c>
    </row>
    <row r="31">
      <c r="B31" s="15" t="inlineStr">
        <is>
          <t>MRVL</t>
        </is>
      </c>
      <c r="D31" s="31" t="inlineStr">
        <is>
          <t>Fiscal year ends Jan · latest period FY2026</t>
        </is>
      </c>
    </row>
    <row r="32">
      <c r="B32" s="15" t="inlineStr">
        <is>
          <t>INTC</t>
        </is>
      </c>
      <c r="D32" s="31" t="inlineStr">
        <is>
          <t>Fiscal year ends Dec · latest period FY2025</t>
        </is>
      </c>
    </row>
    <row r="33">
      <c r="B33" s="30" t="inlineStr">
        <is>
          <t>Year ends differ across the set. State the common year end you calendarised to and which filers were stubbed, or the comparison is not a comparison.</t>
        </is>
      </c>
    </row>
    <row r="35">
      <c r="B35" s="4" t="inlineStr">
        <is>
          <t>Adjustments made</t>
        </is>
      </c>
    </row>
    <row r="36">
      <c r="B36" s="30" t="inlineStr">
        <is>
          <t>Note every adjustment here: stock-based compensation treatment, operating leases capitalised or not, non-recurring items excluded, fiscal-year calendarisation. An unstated adjustment is the fastest way to lose the room.</t>
        </is>
      </c>
    </row>
    <row r="37">
      <c r="B37" s="15" t="inlineStr">
        <is>
          <t>[adjustment]</t>
        </is>
      </c>
      <c r="D37" s="31" t="inlineStr">
        <is>
          <t>[what and why]</t>
        </is>
      </c>
    </row>
    <row r="38">
      <c r="B38" s="15" t="inlineStr">
        <is>
          <t>[adjustment]</t>
        </is>
      </c>
      <c r="D38" s="31" t="inlineStr">
        <is>
          <t>[what and why]</t>
        </is>
      </c>
    </row>
    <row r="39">
      <c r="B39" s="15" t="inlineStr">
        <is>
          <t>[adjustment]</t>
        </is>
      </c>
      <c r="D39" s="31" t="inlineStr">
        <is>
          <t>[what and why]</t>
        </is>
      </c>
    </row>
    <row r="40">
      <c r="B40" s="15" t="inlineStr">
        <is>
          <t>[adjustment]</t>
        </is>
      </c>
      <c r="D40" s="31" t="inlineStr">
        <is>
          <t>[what and why]</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F5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Sources and audit trail</t>
        </is>
      </c>
    </row>
    <row r="6">
      <c r="B6" s="11" t="inlineStr">
        <is>
          <t>Every marker in the [n] column of any tab resolves here. Historic financials come from filings, never from an aggregator.</t>
        </is>
      </c>
    </row>
    <row r="7">
      <c r="B7" s="32" t="inlineStr">
        <is>
          <t>Share price and forward consensus are user inputs and carry no filing provenance by design.</t>
        </is>
      </c>
    </row>
    <row r="8">
      <c r="B8" s="4" t="inlineStr">
        <is>
          <t>#</t>
        </is>
      </c>
      <c r="C8" s="4" t="inlineStr">
        <is>
          <t>Source</t>
        </is>
      </c>
      <c r="D8" s="4" t="inlineStr">
        <is>
          <t>Detail</t>
        </is>
      </c>
      <c r="E8" s="4" t="inlineStr">
        <is>
          <t>Accession</t>
        </is>
      </c>
      <c r="F8" s="4" t="inlineStr">
        <is>
          <t>Link</t>
        </is>
      </c>
    </row>
    <row r="9">
      <c r="B9" s="33" t="n">
        <v>1</v>
      </c>
      <c r="C9" s="15" t="inlineStr">
        <is>
          <t>NVDA FY2026 10-K</t>
        </is>
      </c>
      <c r="D9" s="33" t="inlineStr">
        <is>
          <t>us-gaap:WeightedAverageNumberOfDilutedSharesOutstanding · period ending 2026-01-25 · shares · filed 2026-02-25</t>
        </is>
      </c>
      <c r="E9" s="33" t="inlineStr">
        <is>
          <t>0001045810-26-000021</t>
        </is>
      </c>
      <c r="F9" s="34" t="inlineStr">
        <is>
          <t>https://www.sec.gov/Archives/edgar/data/1045810/000104581026000021/0001045810-26-000021-index.htm</t>
        </is>
      </c>
    </row>
    <row r="10">
      <c r="B10" s="33" t="n">
        <v>2</v>
      </c>
      <c r="C10" s="15" t="inlineStr">
        <is>
          <t>AMD FY2025 10-K</t>
        </is>
      </c>
      <c r="D10" s="33" t="inlineStr">
        <is>
          <t>us-gaap:WeightedAverageNumberOfDilutedSharesOutstanding · period ending 2025-12-27 · shares · filed 2026-02-04</t>
        </is>
      </c>
      <c r="E10" s="33" t="inlineStr">
        <is>
          <t>0000002488-26-000018</t>
        </is>
      </c>
      <c r="F10" s="34" t="inlineStr">
        <is>
          <t>https://www.sec.gov/Archives/edgar/data/2488/000000248826000018/0000002488-26-000018-index.htm</t>
        </is>
      </c>
    </row>
    <row r="11">
      <c r="B11" s="33" t="n">
        <v>3</v>
      </c>
      <c r="C11" s="15" t="inlineStr">
        <is>
          <t>AVGO FY2025 10-K</t>
        </is>
      </c>
      <c r="D11" s="33" t="inlineStr">
        <is>
          <t>us-gaap:WeightedAverageNumberOfDilutedSharesOutstanding · period ending 2025-11-02 · shares · filed 2025-12-18</t>
        </is>
      </c>
      <c r="E11" s="33" t="inlineStr">
        <is>
          <t>0001730168-25-000121</t>
        </is>
      </c>
      <c r="F11" s="34" t="inlineStr">
        <is>
          <t>https://www.sec.gov/Archives/edgar/data/1730168/000173016825000121/0001730168-25-000121-index.htm</t>
        </is>
      </c>
    </row>
    <row r="12">
      <c r="B12" s="33" t="n">
        <v>4</v>
      </c>
      <c r="C12" s="15" t="inlineStr">
        <is>
          <t>MRVL FY2026 10-K</t>
        </is>
      </c>
      <c r="D12" s="33" t="inlineStr">
        <is>
          <t>us-gaap:WeightedAverageNumberOfDilutedSharesOutstanding · period ending 2026-01-31 · shares · filed 2026-03-11</t>
        </is>
      </c>
      <c r="E12" s="33" t="inlineStr">
        <is>
          <t>0001835632-26-000011</t>
        </is>
      </c>
      <c r="F12" s="34" t="inlineStr">
        <is>
          <t>https://www.sec.gov/Archives/edgar/data/1835632/000183563226000011/0001835632-26-000011-index.htm</t>
        </is>
      </c>
    </row>
    <row r="13">
      <c r="B13" s="33" t="n">
        <v>5</v>
      </c>
      <c r="C13" s="15" t="inlineStr">
        <is>
          <t>INTC FY2025 10-K</t>
        </is>
      </c>
      <c r="D13" s="33" t="inlineStr">
        <is>
          <t>us-gaap:WeightedAverageNumberOfDilutedSharesOutstanding · period ending 2025-12-27 · shares · filed 2026-01-23</t>
        </is>
      </c>
      <c r="E13" s="33" t="inlineStr">
        <is>
          <t>0000050863-26-000011</t>
        </is>
      </c>
      <c r="F13" s="34" t="inlineStr">
        <is>
          <t>https://www.sec.gov/Archives/edgar/data/50863/000005086326000011/0000050863-26-000011-index.htm</t>
        </is>
      </c>
    </row>
    <row r="14">
      <c r="B14" s="33" t="n">
        <v>6</v>
      </c>
      <c r="C14" s="15" t="inlineStr">
        <is>
          <t>NVDA FY2026 10-K</t>
        </is>
      </c>
      <c r="D14" s="33" t="inlineStr">
        <is>
          <t>us-gaap:LongTermDebt · period ending 2026-01-25 · USD · filed 2026-02-25</t>
        </is>
      </c>
      <c r="E14" s="33" t="inlineStr">
        <is>
          <t>0001045810-26-000021</t>
        </is>
      </c>
      <c r="F14" s="34" t="inlineStr">
        <is>
          <t>https://www.sec.gov/Archives/edgar/data/1045810/000104581026000021/0001045810-26-000021-index.htm</t>
        </is>
      </c>
    </row>
    <row r="15">
      <c r="B15" s="33" t="n">
        <v>7</v>
      </c>
      <c r="C15" s="15" t="inlineStr">
        <is>
          <t>AMD FY2025 10-K</t>
        </is>
      </c>
      <c r="D15" s="33" t="inlineStr">
        <is>
          <t>us-gaap:DebtInstrumentCarryingAmount · period ending 2025-12-27 · USD · filed 2026-02-04</t>
        </is>
      </c>
      <c r="E15" s="33" t="inlineStr">
        <is>
          <t>0000002488-26-000018</t>
        </is>
      </c>
      <c r="F15" s="34" t="inlineStr">
        <is>
          <t>https://www.sec.gov/Archives/edgar/data/2488/000000248826000018/0000002488-26-000018-index.htm</t>
        </is>
      </c>
    </row>
    <row r="16">
      <c r="B16" s="33" t="n">
        <v>8</v>
      </c>
      <c r="C16" s="15" t="inlineStr">
        <is>
          <t>AVGO FY2025 10-K</t>
        </is>
      </c>
      <c r="D16" s="33" t="inlineStr">
        <is>
          <t>us-gaap:DebtInstrumentCarryingAmount · period ending 2025-11-02 · USD · filed 2025-12-18</t>
        </is>
      </c>
      <c r="E16" s="33" t="inlineStr">
        <is>
          <t>0001730168-25-000121</t>
        </is>
      </c>
      <c r="F16" s="34" t="inlineStr">
        <is>
          <t>https://www.sec.gov/Archives/edgar/data/1730168/000173016825000121/0001730168-25-000121-index.htm</t>
        </is>
      </c>
    </row>
    <row r="17">
      <c r="B17" s="33" t="n">
        <v>9</v>
      </c>
      <c r="C17" s="15" t="inlineStr">
        <is>
          <t>MRVL FY2026 10-K</t>
        </is>
      </c>
      <c r="D17" s="33" t="inlineStr">
        <is>
          <t>us-gaap:LongTermDebtNoncurrent · period ending 2026-01-31 · USD · filed 2026-03-11</t>
        </is>
      </c>
      <c r="E17" s="33" t="inlineStr">
        <is>
          <t>0001835632-26-000011</t>
        </is>
      </c>
      <c r="F17" s="34" t="inlineStr">
        <is>
          <t>https://www.sec.gov/Archives/edgar/data/1835632/000183563226000011/0001835632-26-000011-index.htm</t>
        </is>
      </c>
    </row>
    <row r="18">
      <c r="B18" s="33" t="n">
        <v>10</v>
      </c>
      <c r="C18" s="15" t="inlineStr">
        <is>
          <t>INTC FY2025 10-K</t>
        </is>
      </c>
      <c r="D18" s="33" t="inlineStr">
        <is>
          <t>us-gaap:LongTermDebtNoncurrent · period ending 2025-12-27 · USD · filed 2026-01-23</t>
        </is>
      </c>
      <c r="E18" s="33" t="inlineStr">
        <is>
          <t>0000050863-26-000011</t>
        </is>
      </c>
      <c r="F18" s="34" t="inlineStr">
        <is>
          <t>https://www.sec.gov/Archives/edgar/data/50863/000005086326000011/0000050863-26-000011-index.htm</t>
        </is>
      </c>
    </row>
    <row r="19">
      <c r="B19" s="33" t="n">
        <v>11</v>
      </c>
      <c r="C19" s="15" t="inlineStr">
        <is>
          <t>NVDA FY2026 10-K</t>
        </is>
      </c>
      <c r="D19" s="33" t="inlineStr">
        <is>
          <t>us-gaap:CashAndCashEquivalentsAtCarryingValue · period ending 2026-01-25 · USD · filed 2026-02-25</t>
        </is>
      </c>
      <c r="E19" s="33" t="inlineStr">
        <is>
          <t>0001045810-26-000021</t>
        </is>
      </c>
      <c r="F19" s="34" t="inlineStr">
        <is>
          <t>https://www.sec.gov/Archives/edgar/data/1045810/000104581026000021/0001045810-26-000021-index.htm</t>
        </is>
      </c>
    </row>
    <row r="20">
      <c r="B20" s="33" t="n">
        <v>12</v>
      </c>
      <c r="C20" s="15" t="inlineStr">
        <is>
          <t>AMD FY2025 10-K</t>
        </is>
      </c>
      <c r="D20" s="33" t="inlineStr">
        <is>
          <t>us-gaap:CashAndCashEquivalentsAtCarryingValue · period ending 2025-12-27 · USD · filed 2026-02-04</t>
        </is>
      </c>
      <c r="E20" s="33" t="inlineStr">
        <is>
          <t>0000002488-26-000018</t>
        </is>
      </c>
      <c r="F20" s="34" t="inlineStr">
        <is>
          <t>https://www.sec.gov/Archives/edgar/data/2488/000000248826000018/0000002488-26-000018-index.htm</t>
        </is>
      </c>
    </row>
    <row r="21">
      <c r="B21" s="33" t="n">
        <v>13</v>
      </c>
      <c r="C21" s="15" t="inlineStr">
        <is>
          <t>AVGO FY2025 10-K</t>
        </is>
      </c>
      <c r="D21" s="33" t="inlineStr">
        <is>
          <t>us-gaap:CashAndCashEquivalentsAtCarryingValue · period ending 2025-11-02 · USD · filed 2025-12-18</t>
        </is>
      </c>
      <c r="E21" s="33" t="inlineStr">
        <is>
          <t>0001730168-25-000121</t>
        </is>
      </c>
      <c r="F21" s="34" t="inlineStr">
        <is>
          <t>https://www.sec.gov/Archives/edgar/data/1730168/000173016825000121/0001730168-25-000121-index.htm</t>
        </is>
      </c>
    </row>
    <row r="22">
      <c r="B22" s="33" t="n">
        <v>14</v>
      </c>
      <c r="C22" s="15" t="inlineStr">
        <is>
          <t>MRVL FY2026 10-K</t>
        </is>
      </c>
      <c r="D22" s="33" t="inlineStr">
        <is>
          <t>us-gaap:CashCashEquivalentsRestrictedCashAndRestrictedCashEquivalents · period ending 2026-01-31 · USD · filed 2026-03-11</t>
        </is>
      </c>
      <c r="E22" s="33" t="inlineStr">
        <is>
          <t>0001835632-26-000011</t>
        </is>
      </c>
      <c r="F22" s="34" t="inlineStr">
        <is>
          <t>https://www.sec.gov/Archives/edgar/data/1835632/000183563226000011/0001835632-26-000011-index.htm</t>
        </is>
      </c>
    </row>
    <row r="23">
      <c r="B23" s="33" t="n">
        <v>15</v>
      </c>
      <c r="C23" s="15" t="inlineStr">
        <is>
          <t>INTC FY2025 10-K</t>
        </is>
      </c>
      <c r="D23" s="33" t="inlineStr">
        <is>
          <t>us-gaap:CashAndCashEquivalentsAtCarryingValue · period ending 2025-12-27 · USD · filed 2026-01-23</t>
        </is>
      </c>
      <c r="E23" s="33" t="inlineStr">
        <is>
          <t>0000050863-26-000011</t>
        </is>
      </c>
      <c r="F23" s="34" t="inlineStr">
        <is>
          <t>https://www.sec.gov/Archives/edgar/data/50863/000005086326000011/0000050863-26-000011-index.htm</t>
        </is>
      </c>
    </row>
    <row r="24">
      <c r="B24" s="33" t="n">
        <v>16</v>
      </c>
      <c r="C24" s="15" t="inlineStr">
        <is>
          <t>NVDA FY2025 10-K</t>
        </is>
      </c>
      <c r="D24" s="33" t="inlineStr">
        <is>
          <t>us-gaap:MarketableSecuritiesCurrent · period ending 2025-01-26 · USD · filed 2025-02-26</t>
        </is>
      </c>
      <c r="E24" s="33" t="inlineStr">
        <is>
          <t>0001045810-25-000023</t>
        </is>
      </c>
      <c r="F24" s="34" t="inlineStr">
        <is>
          <t>https://www.sec.gov/Archives/edgar/data/1045810/000104581025000023/0001045810-25-000023-index.htm</t>
        </is>
      </c>
    </row>
    <row r="25">
      <c r="B25" s="33" t="n">
        <v>17</v>
      </c>
      <c r="C25" s="15" t="inlineStr">
        <is>
          <t>AMD FY2025 10-K</t>
        </is>
      </c>
      <c r="D25" s="33" t="inlineStr">
        <is>
          <t>us-gaap:ShortTermInvestments · period ending 2025-12-27 · USD · filed 2026-02-04</t>
        </is>
      </c>
      <c r="E25" s="33" t="inlineStr">
        <is>
          <t>0000002488-26-000018</t>
        </is>
      </c>
      <c r="F25" s="34" t="inlineStr">
        <is>
          <t>https://www.sec.gov/Archives/edgar/data/2488/000000248826000018/0000002488-26-000018-index.htm</t>
        </is>
      </c>
    </row>
    <row r="26">
      <c r="B26" s="33" t="n">
        <v>18</v>
      </c>
      <c r="C26" s="15" t="inlineStr">
        <is>
          <t>INTC FY2025 10-K</t>
        </is>
      </c>
      <c r="D26" s="33" t="inlineStr">
        <is>
          <t>us-gaap:AvailableForSaleSecuritiesDebtSecuritiesCurrent · period ending 2025-12-27 · USD · filed 2026-01-23</t>
        </is>
      </c>
      <c r="E26" s="33" t="inlineStr">
        <is>
          <t>0000050863-26-000011</t>
        </is>
      </c>
      <c r="F26" s="34" t="inlineStr">
        <is>
          <t>https://www.sec.gov/Archives/edgar/data/50863/000005086326000011/0000050863-26-000011-index.htm</t>
        </is>
      </c>
    </row>
    <row r="27">
      <c r="B27" s="33" t="n">
        <v>19</v>
      </c>
      <c r="C27" s="15" t="inlineStr">
        <is>
          <t>NVDA FY2026 10-K</t>
        </is>
      </c>
      <c r="D27" s="33" t="inlineStr">
        <is>
          <t>us-gaap:Revenues · period ending 2026-01-25 · USD · filed 2026-02-25</t>
        </is>
      </c>
      <c r="E27" s="33" t="inlineStr">
        <is>
          <t>0001045810-26-000021</t>
        </is>
      </c>
      <c r="F27" s="34" t="inlineStr">
        <is>
          <t>https://www.sec.gov/Archives/edgar/data/1045810/000104581026000021/0001045810-26-000021-index.htm</t>
        </is>
      </c>
    </row>
    <row r="28">
      <c r="B28" s="33" t="n">
        <v>20</v>
      </c>
      <c r="C28" s="15" t="inlineStr">
        <is>
          <t>AMD FY2025 10-K</t>
        </is>
      </c>
      <c r="D28" s="33" t="inlineStr">
        <is>
          <t>us-gaap:RevenueFromContractWithCustomerExcludingAssessedTax · period ending 2025-12-27 · USD · filed 2026-02-04</t>
        </is>
      </c>
      <c r="E28" s="33" t="inlineStr">
        <is>
          <t>0000002488-26-000018</t>
        </is>
      </c>
      <c r="F28" s="34" t="inlineStr">
        <is>
          <t>https://www.sec.gov/Archives/edgar/data/2488/000000248826000018/0000002488-26-000018-index.htm</t>
        </is>
      </c>
    </row>
    <row r="29">
      <c r="B29" s="33" t="n">
        <v>21</v>
      </c>
      <c r="C29" s="15" t="inlineStr">
        <is>
          <t>AVGO FY2025 10-K</t>
        </is>
      </c>
      <c r="D29" s="33" t="inlineStr">
        <is>
          <t>us-gaap:RevenueFromContractWithCustomerExcludingAssessedTax · period ending 2025-11-02 · USD · filed 2025-12-18</t>
        </is>
      </c>
      <c r="E29" s="33" t="inlineStr">
        <is>
          <t>0001730168-25-000121</t>
        </is>
      </c>
      <c r="F29" s="34" t="inlineStr">
        <is>
          <t>https://www.sec.gov/Archives/edgar/data/1730168/000173016825000121/0001730168-25-000121-index.htm</t>
        </is>
      </c>
    </row>
    <row r="30">
      <c r="B30" s="33" t="n">
        <v>22</v>
      </c>
      <c r="C30" s="15" t="inlineStr">
        <is>
          <t>MRVL FY2026 10-K</t>
        </is>
      </c>
      <c r="D30" s="33" t="inlineStr">
        <is>
          <t>us-gaap:RevenueFromContractWithCustomerExcludingAssessedTax · period ending 2026-01-31 · USD · filed 2026-03-11</t>
        </is>
      </c>
      <c r="E30" s="33" t="inlineStr">
        <is>
          <t>0001835632-26-000011</t>
        </is>
      </c>
      <c r="F30" s="34" t="inlineStr">
        <is>
          <t>https://www.sec.gov/Archives/edgar/data/1835632/000183563226000011/0001835632-26-000011-index.htm</t>
        </is>
      </c>
    </row>
    <row r="31">
      <c r="B31" s="33" t="n">
        <v>23</v>
      </c>
      <c r="C31" s="15" t="inlineStr">
        <is>
          <t>INTC FY2025 10-K</t>
        </is>
      </c>
      <c r="D31" s="33" t="inlineStr">
        <is>
          <t>us-gaap:RevenueFromContractWithCustomerExcludingAssessedTax · period ending 2025-12-27 · USD · filed 2026-01-23</t>
        </is>
      </c>
      <c r="E31" s="33" t="inlineStr">
        <is>
          <t>0000050863-26-000011</t>
        </is>
      </c>
      <c r="F31" s="34" t="inlineStr">
        <is>
          <t>https://www.sec.gov/Archives/edgar/data/50863/000005086326000011/0000050863-26-000011-index.htm</t>
        </is>
      </c>
    </row>
    <row r="32">
      <c r="B32" s="33" t="n">
        <v>24</v>
      </c>
      <c r="C32" s="15" t="inlineStr">
        <is>
          <t>NVDA FY2026 10-K</t>
        </is>
      </c>
      <c r="D32" s="33" t="inlineStr">
        <is>
          <t>us-gaap:GrossProfit · period ending 2026-01-25 · USD · filed 2026-02-25</t>
        </is>
      </c>
      <c r="E32" s="33" t="inlineStr">
        <is>
          <t>0001045810-26-000021</t>
        </is>
      </c>
      <c r="F32" s="34" t="inlineStr">
        <is>
          <t>https://www.sec.gov/Archives/edgar/data/1045810/000104581026000021/0001045810-26-000021-index.htm</t>
        </is>
      </c>
    </row>
    <row r="33">
      <c r="B33" s="33" t="n">
        <v>25</v>
      </c>
      <c r="C33" s="15" t="inlineStr">
        <is>
          <t>AMD FY2025 10-K</t>
        </is>
      </c>
      <c r="D33" s="33" t="inlineStr">
        <is>
          <t>us-gaap:GrossProfit · period ending 2025-12-27 · USD · filed 2026-02-04</t>
        </is>
      </c>
      <c r="E33" s="33" t="inlineStr">
        <is>
          <t>0000002488-26-000018</t>
        </is>
      </c>
      <c r="F33" s="34" t="inlineStr">
        <is>
          <t>https://www.sec.gov/Archives/edgar/data/2488/000000248826000018/0000002488-26-000018-index.htm</t>
        </is>
      </c>
    </row>
    <row r="34">
      <c r="B34" s="33" t="n">
        <v>26</v>
      </c>
      <c r="C34" s="15" t="inlineStr">
        <is>
          <t>AVGO FY2025 10-K</t>
        </is>
      </c>
      <c r="D34" s="33" t="inlineStr">
        <is>
          <t>us-gaap:GrossProfit · period ending 2025-11-02 · USD · filed 2025-12-18</t>
        </is>
      </c>
      <c r="E34" s="33" t="inlineStr">
        <is>
          <t>0001730168-25-000121</t>
        </is>
      </c>
      <c r="F34" s="34" t="inlineStr">
        <is>
          <t>https://www.sec.gov/Archives/edgar/data/1730168/000173016825000121/0001730168-25-000121-index.htm</t>
        </is>
      </c>
    </row>
    <row r="35">
      <c r="B35" s="33" t="n">
        <v>27</v>
      </c>
      <c r="C35" s="15" t="inlineStr">
        <is>
          <t>MRVL FY2026 10-K</t>
        </is>
      </c>
      <c r="D35" s="33" t="inlineStr">
        <is>
          <t>us-gaap:GrossProfit · period ending 2026-01-31 · USD · filed 2026-03-11</t>
        </is>
      </c>
      <c r="E35" s="33" t="inlineStr">
        <is>
          <t>0001835632-26-000011</t>
        </is>
      </c>
      <c r="F35" s="34" t="inlineStr">
        <is>
          <t>https://www.sec.gov/Archives/edgar/data/1835632/000183563226000011/0001835632-26-000011-index.htm</t>
        </is>
      </c>
    </row>
    <row r="36">
      <c r="B36" s="33" t="n">
        <v>28</v>
      </c>
      <c r="C36" s="15" t="inlineStr">
        <is>
          <t>INTC FY2025 10-K</t>
        </is>
      </c>
      <c r="D36" s="33" t="inlineStr">
        <is>
          <t>us-gaap:GrossProfit · period ending 2025-12-27 · USD · filed 2026-01-23</t>
        </is>
      </c>
      <c r="E36" s="33" t="inlineStr">
        <is>
          <t>0000050863-26-000011</t>
        </is>
      </c>
      <c r="F36" s="34" t="inlineStr">
        <is>
          <t>https://www.sec.gov/Archives/edgar/data/50863/000005086326000011/0000050863-26-000011-index.htm</t>
        </is>
      </c>
    </row>
    <row r="37">
      <c r="B37" s="33" t="n">
        <v>29</v>
      </c>
      <c r="C37" s="15" t="inlineStr">
        <is>
          <t>NVDA FY2026 10-K</t>
        </is>
      </c>
      <c r="D37" s="33" t="inlineStr">
        <is>
          <t>us-gaap:OperatingIncomeLoss · period ending 2026-01-25 · USD · filed 2026-02-25</t>
        </is>
      </c>
      <c r="E37" s="33" t="inlineStr">
        <is>
          <t>0001045810-26-000021</t>
        </is>
      </c>
      <c r="F37" s="34" t="inlineStr">
        <is>
          <t>https://www.sec.gov/Archives/edgar/data/1045810/000104581026000021/0001045810-26-000021-index.htm</t>
        </is>
      </c>
    </row>
    <row r="38">
      <c r="B38" s="33" t="n">
        <v>30</v>
      </c>
      <c r="C38" s="15" t="inlineStr">
        <is>
          <t>AMD FY2025 10-K</t>
        </is>
      </c>
      <c r="D38" s="33" t="inlineStr">
        <is>
          <t>us-gaap:OperatingIncomeLoss · period ending 2025-12-27 · USD · filed 2026-02-04</t>
        </is>
      </c>
      <c r="E38" s="33" t="inlineStr">
        <is>
          <t>0000002488-26-000018</t>
        </is>
      </c>
      <c r="F38" s="34" t="inlineStr">
        <is>
          <t>https://www.sec.gov/Archives/edgar/data/2488/000000248826000018/0000002488-26-000018-index.htm</t>
        </is>
      </c>
    </row>
    <row r="39">
      <c r="B39" s="33" t="n">
        <v>31</v>
      </c>
      <c r="C39" s="15" t="inlineStr">
        <is>
          <t>AVGO FY2025 10-K</t>
        </is>
      </c>
      <c r="D39" s="33" t="inlineStr">
        <is>
          <t>us-gaap:OperatingIncomeLoss · period ending 2025-11-02 · USD · filed 2025-12-18</t>
        </is>
      </c>
      <c r="E39" s="33" t="inlineStr">
        <is>
          <t>0001730168-25-000121</t>
        </is>
      </c>
      <c r="F39" s="34" t="inlineStr">
        <is>
          <t>https://www.sec.gov/Archives/edgar/data/1730168/000173016825000121/0001730168-25-000121-index.htm</t>
        </is>
      </c>
    </row>
    <row r="40">
      <c r="B40" s="33" t="n">
        <v>32</v>
      </c>
      <c r="C40" s="15" t="inlineStr">
        <is>
          <t>MRVL FY2026 10-K</t>
        </is>
      </c>
      <c r="D40" s="33" t="inlineStr">
        <is>
          <t>us-gaap:OperatingIncomeLoss · period ending 2026-01-31 · USD · filed 2026-03-11</t>
        </is>
      </c>
      <c r="E40" s="33" t="inlineStr">
        <is>
          <t>0001835632-26-000011</t>
        </is>
      </c>
      <c r="F40" s="34" t="inlineStr">
        <is>
          <t>https://www.sec.gov/Archives/edgar/data/1835632/000183563226000011/0001835632-26-000011-index.htm</t>
        </is>
      </c>
    </row>
    <row r="41">
      <c r="B41" s="33" t="n">
        <v>33</v>
      </c>
      <c r="C41" s="15" t="inlineStr">
        <is>
          <t>INTC FY2025 10-K</t>
        </is>
      </c>
      <c r="D41" s="33" t="inlineStr">
        <is>
          <t>us-gaap:OperatingIncomeLoss · period ending 2025-12-27 · USD · filed 2026-01-23</t>
        </is>
      </c>
      <c r="E41" s="33" t="inlineStr">
        <is>
          <t>0000050863-26-000011</t>
        </is>
      </c>
      <c r="F41" s="34" t="inlineStr">
        <is>
          <t>https://www.sec.gov/Archives/edgar/data/50863/000005086326000011/0000050863-26-000011-index.htm</t>
        </is>
      </c>
    </row>
    <row r="42">
      <c r="B42" s="33" t="n">
        <v>34</v>
      </c>
      <c r="C42" s="15" t="inlineStr">
        <is>
          <t>NVDA FY2026 10-K</t>
        </is>
      </c>
      <c r="D42" s="33" t="inlineStr">
        <is>
          <t>us-gaap:Depreciation · period ending 2026-01-25 · USD · filed 2026-02-25</t>
        </is>
      </c>
      <c r="E42" s="33" t="inlineStr">
        <is>
          <t>0001045810-26-000021</t>
        </is>
      </c>
      <c r="F42" s="34" t="inlineStr">
        <is>
          <t>https://www.sec.gov/Archives/edgar/data/1045810/000104581026000021/0001045810-26-000021-index.htm</t>
        </is>
      </c>
    </row>
    <row r="43">
      <c r="B43" s="33" t="n">
        <v>35</v>
      </c>
      <c r="C43" s="15" t="inlineStr">
        <is>
          <t>AMD FY2025 10-K</t>
        </is>
      </c>
      <c r="D43" s="33" t="inlineStr">
        <is>
          <t>us-gaap:Depreciation · period ending 2025-12-27 · USD · filed 2026-02-04</t>
        </is>
      </c>
      <c r="E43" s="33" t="inlineStr">
        <is>
          <t>0000002488-26-000018</t>
        </is>
      </c>
      <c r="F43" s="34" t="inlineStr">
        <is>
          <t>https://www.sec.gov/Archives/edgar/data/2488/000000248826000018/0000002488-26-000018-index.htm</t>
        </is>
      </c>
    </row>
    <row r="44">
      <c r="B44" s="33" t="n">
        <v>36</v>
      </c>
      <c r="C44" s="15" t="inlineStr">
        <is>
          <t>AVGO FY2025 10-K</t>
        </is>
      </c>
      <c r="D44" s="33" t="inlineStr">
        <is>
          <t>us-gaap:Depreciation · period ending 2025-11-02 · USD · filed 2025-12-18</t>
        </is>
      </c>
      <c r="E44" s="33" t="inlineStr">
        <is>
          <t>0001730168-25-000121</t>
        </is>
      </c>
      <c r="F44" s="34" t="inlineStr">
        <is>
          <t>https://www.sec.gov/Archives/edgar/data/1730168/000173016825000121/0001730168-25-000121-index.htm</t>
        </is>
      </c>
    </row>
    <row r="45">
      <c r="B45" s="33" t="n">
        <v>37</v>
      </c>
      <c r="C45" s="15" t="inlineStr">
        <is>
          <t>MRVL FY2026 10-K</t>
        </is>
      </c>
      <c r="D45" s="33" t="inlineStr">
        <is>
          <t>us-gaap:Depreciation · period ending 2026-01-31 · USD · filed 2026-03-11</t>
        </is>
      </c>
      <c r="E45" s="33" t="inlineStr">
        <is>
          <t>0001835632-26-000011</t>
        </is>
      </c>
      <c r="F45" s="34" t="inlineStr">
        <is>
          <t>https://www.sec.gov/Archives/edgar/data/1835632/000183563226000011/0001835632-26-000011-index.htm</t>
        </is>
      </c>
    </row>
    <row r="46">
      <c r="B46" s="33" t="n">
        <v>38</v>
      </c>
      <c r="C46" s="15" t="inlineStr">
        <is>
          <t>INTC FY2025 10-K</t>
        </is>
      </c>
      <c r="D46" s="33" t="inlineStr">
        <is>
          <t>us-gaap:Depreciation · period ending 2025-12-27 · USD · filed 2026-01-23</t>
        </is>
      </c>
      <c r="E46" s="33" t="inlineStr">
        <is>
          <t>0000050863-26-000011</t>
        </is>
      </c>
      <c r="F46" s="34" t="inlineStr">
        <is>
          <t>https://www.sec.gov/Archives/edgar/data/50863/000005086326000011/0000050863-26-000011-index.htm</t>
        </is>
      </c>
    </row>
    <row r="47">
      <c r="B47" s="33" t="n">
        <v>39</v>
      </c>
      <c r="C47" s="15" t="inlineStr">
        <is>
          <t>NVDA FY2026 10-K</t>
        </is>
      </c>
      <c r="D47" s="33" t="inlineStr">
        <is>
          <t>us-gaap:NetIncomeLoss · period ending 2026-01-25 · USD · filed 2026-02-25</t>
        </is>
      </c>
      <c r="E47" s="33" t="inlineStr">
        <is>
          <t>0001045810-26-000021</t>
        </is>
      </c>
      <c r="F47" s="34" t="inlineStr">
        <is>
          <t>https://www.sec.gov/Archives/edgar/data/1045810/000104581026000021/0001045810-26-000021-index.htm</t>
        </is>
      </c>
    </row>
    <row r="48">
      <c r="B48" s="33" t="n">
        <v>40</v>
      </c>
      <c r="C48" s="15" t="inlineStr">
        <is>
          <t>AMD FY2025 10-K</t>
        </is>
      </c>
      <c r="D48" s="33" t="inlineStr">
        <is>
          <t>us-gaap:NetIncomeLoss · period ending 2025-12-27 · USD · filed 2026-02-04</t>
        </is>
      </c>
      <c r="E48" s="33" t="inlineStr">
        <is>
          <t>0000002488-26-000018</t>
        </is>
      </c>
      <c r="F48" s="34" t="inlineStr">
        <is>
          <t>https://www.sec.gov/Archives/edgar/data/2488/000000248826000018/0000002488-26-000018-index.htm</t>
        </is>
      </c>
    </row>
    <row r="49">
      <c r="B49" s="33" t="n">
        <v>41</v>
      </c>
      <c r="C49" s="15" t="inlineStr">
        <is>
          <t>AVGO FY2025 10-K</t>
        </is>
      </c>
      <c r="D49" s="33" t="inlineStr">
        <is>
          <t>us-gaap:ProfitLoss · period ending 2025-11-02 · USD · filed 2025-12-18</t>
        </is>
      </c>
      <c r="E49" s="33" t="inlineStr">
        <is>
          <t>0001730168-25-000121</t>
        </is>
      </c>
      <c r="F49" s="34" t="inlineStr">
        <is>
          <t>https://www.sec.gov/Archives/edgar/data/1730168/000173016825000121/0001730168-25-000121-index.htm</t>
        </is>
      </c>
    </row>
    <row r="50">
      <c r="B50" s="33" t="n">
        <v>42</v>
      </c>
      <c r="C50" s="15" t="inlineStr">
        <is>
          <t>MRVL FY2026 10-K</t>
        </is>
      </c>
      <c r="D50" s="33" t="inlineStr">
        <is>
          <t>us-gaap:NetIncomeLoss · period ending 2026-01-31 · USD · filed 2026-03-11</t>
        </is>
      </c>
      <c r="E50" s="33" t="inlineStr">
        <is>
          <t>0001835632-26-000011</t>
        </is>
      </c>
      <c r="F50" s="34" t="inlineStr">
        <is>
          <t>https://www.sec.gov/Archives/edgar/data/1835632/000183563226000011/0001835632-26-000011-index.htm</t>
        </is>
      </c>
    </row>
    <row r="51">
      <c r="B51" s="33" t="n">
        <v>43</v>
      </c>
      <c r="C51" s="15" t="inlineStr">
        <is>
          <t>INTC FY2025 10-K</t>
        </is>
      </c>
      <c r="D51" s="33" t="inlineStr">
        <is>
          <t>us-gaap:NetIncomeLoss · period ending 2025-12-27 · USD · filed 2026-01-23</t>
        </is>
      </c>
      <c r="E51" s="33" t="inlineStr">
        <is>
          <t>0000050863-26-000011</t>
        </is>
      </c>
      <c r="F51" s="34" t="inlineStr">
        <is>
          <t>https://www.sec.gov/Archives/edgar/data/50863/000005086326000011/0000050863-26-000011-index.htm</t>
        </is>
      </c>
    </row>
    <row r="52">
      <c r="B52" s="33" t="n">
        <v>44</v>
      </c>
      <c r="C52" s="15" t="inlineStr">
        <is>
          <t>NVDA FY2026 10-K</t>
        </is>
      </c>
      <c r="D52" s="33" t="inlineStr">
        <is>
          <t>us-gaap:EarningsPerShareDiluted · period ending 2026-01-25 · USD/shares · filed 2026-02-25</t>
        </is>
      </c>
      <c r="E52" s="33" t="inlineStr">
        <is>
          <t>0001045810-26-000021</t>
        </is>
      </c>
      <c r="F52" s="34" t="inlineStr">
        <is>
          <t>https://www.sec.gov/Archives/edgar/data/1045810/000104581026000021/0001045810-26-000021-index.htm</t>
        </is>
      </c>
    </row>
    <row r="53">
      <c r="B53" s="33" t="n">
        <v>45</v>
      </c>
      <c r="C53" s="15" t="inlineStr">
        <is>
          <t>AMD FY2025 10-K</t>
        </is>
      </c>
      <c r="D53" s="33" t="inlineStr">
        <is>
          <t>us-gaap:EarningsPerShareDiluted · period ending 2025-12-27 · USD/shares · filed 2026-02-04</t>
        </is>
      </c>
      <c r="E53" s="33" t="inlineStr">
        <is>
          <t>0000002488-26-000018</t>
        </is>
      </c>
      <c r="F53" s="34" t="inlineStr">
        <is>
          <t>https://www.sec.gov/Archives/edgar/data/2488/000000248826000018/0000002488-26-000018-index.htm</t>
        </is>
      </c>
    </row>
    <row r="54">
      <c r="B54" s="33" t="n">
        <v>46</v>
      </c>
      <c r="C54" s="15" t="inlineStr">
        <is>
          <t>AVGO FY2025 10-K</t>
        </is>
      </c>
      <c r="D54" s="33" t="inlineStr">
        <is>
          <t>us-gaap:EarningsPerShareDiluted · period ending 2025-11-02 · USD/shares · filed 2025-12-18</t>
        </is>
      </c>
      <c r="E54" s="33" t="inlineStr">
        <is>
          <t>0001730168-25-000121</t>
        </is>
      </c>
      <c r="F54" s="34" t="inlineStr">
        <is>
          <t>https://www.sec.gov/Archives/edgar/data/1730168/000173016825000121/0001730168-25-000121-index.htm</t>
        </is>
      </c>
    </row>
    <row r="55">
      <c r="B55" s="33" t="n">
        <v>47</v>
      </c>
      <c r="C55" s="15" t="inlineStr">
        <is>
          <t>MRVL FY2026 10-K</t>
        </is>
      </c>
      <c r="D55" s="33" t="inlineStr">
        <is>
          <t>us-gaap:EarningsPerShareDiluted · period ending 2026-01-31 · USD/shares · filed 2026-03-11</t>
        </is>
      </c>
      <c r="E55" s="33" t="inlineStr">
        <is>
          <t>0001835632-26-000011</t>
        </is>
      </c>
      <c r="F55" s="34" t="inlineStr">
        <is>
          <t>https://www.sec.gov/Archives/edgar/data/1835632/000183563226000011/0001835632-26-000011-index.htm</t>
        </is>
      </c>
    </row>
    <row r="56">
      <c r="B56" s="33" t="n">
        <v>48</v>
      </c>
      <c r="C56" s="15" t="inlineStr">
        <is>
          <t>INTC FY2025 10-K</t>
        </is>
      </c>
      <c r="D56" s="33" t="inlineStr">
        <is>
          <t>us-gaap:EarningsPerShareDiluted · period ending 2025-12-27 · USD/shares · filed 2026-01-23</t>
        </is>
      </c>
      <c r="E56" s="33" t="inlineStr">
        <is>
          <t>0000050863-26-000011</t>
        </is>
      </c>
      <c r="F56" s="34" t="inlineStr">
        <is>
          <t>https://www.sec.gov/Archives/edgar/data/50863/000005086326000011/0000050863-26-000011-index.htm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s>
  <pageMargins left="0.75" right="0.75" top="1" bottom="1" header="0.5" footer="0.5"/>
  <drawing xmlns:r="http://schemas.openxmlformats.org/officeDocument/2006/relationships" r:id="rId4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2026-10-17T19:07:33Z</dcterms:created>
  <dcterms:modified xsi:type="dcterms:W3CDTF">2026-10-17T19:07:33Z</dcterms:modified>
</cp:coreProperties>
</file>