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e" sheetId="1" state="visible" r:id="rId1"/>
    <sheet name="Income Statement" sheetId="2" state="visible" r:id="rId2"/>
    <sheet name="Balance Sheet" sheetId="3" state="visible" r:id="rId3"/>
    <sheet name="Cash Flow" sheetId="4" state="visible" r:id="rId4"/>
    <sheet name="Filings" sheetId="5" state="visible" r:id="rId5"/>
    <sheet name="Sources" sheetId="6" state="visible" r:id="rId6"/>
  </sheets>
  <definedNames>
    <definedName name="_xlnm.Print_Area" localSheetId="0">'Profile'!$B$2:$J$37</definedName>
    <definedName name="_xlnm.Print_Area" localSheetId="1">'Income Statement'!$B$2:$J$21</definedName>
    <definedName name="_xlnm.Print_Area" localSheetId="2">'Balance Sheet'!$B$2:$J$25</definedName>
    <definedName name="_xlnm.Print_Area" localSheetId="3">'Cash Flow'!$B$2:$J$15</definedName>
    <definedName name="_xlnm.Print_Area" localSheetId="4">'Filings'!$B$2:$F$20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,,_);\(&quot;$&quot;#,##0,,\)"/>
    <numFmt numFmtId="165" formatCode="0.0%_);\(0.0%\)"/>
    <numFmt numFmtId="166" formatCode="0.00_);\(0.00\)"/>
    <numFmt numFmtId="167" formatCode="#,##0,,_);\(#,##0,,\)"/>
  </numFmts>
  <fonts count="19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0000FF"/>
      <sz val="10"/>
    </font>
    <font>
      <color rgb="FF808080"/>
      <sz val="8"/>
    </font>
    <font>
      <i val="1"/>
      <color rgb="FF808080"/>
      <sz val="10"/>
    </font>
    <font>
      <color rgb="FF808080"/>
      <sz val="10"/>
    </font>
    <font>
      <i val="1"/>
      <sz val="10"/>
    </font>
    <font>
      <b val="1"/>
      <sz val="10"/>
    </font>
    <font>
      <b val="1"/>
      <color rgb="FF0000FF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" fillId="0" borderId="1" applyAlignment="1" pivotButton="0" quotePrefix="0" xfId="0">
      <alignment horizontal="right"/>
    </xf>
    <xf numFmtId="0" fontId="15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165" fontId="6" fillId="0" borderId="0" applyAlignment="1" pivotButton="0" quotePrefix="0" xfId="0">
      <alignment horizontal="right"/>
    </xf>
    <xf numFmtId="165" fontId="7" fillId="0" borderId="0" pivotButton="0" quotePrefix="0" xfId="0"/>
    <xf numFmtId="164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6" fontId="3" fillId="0" borderId="0" pivotButton="0" quotePrefix="0" xfId="0"/>
    <xf numFmtId="167" fontId="6" fillId="0" borderId="0" applyAlignment="1" pivotButton="0" quotePrefix="0" xfId="0">
      <alignment horizontal="right"/>
    </xf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164" fontId="7" fillId="0" borderId="0" pivotButton="0" quotePrefix="0" xfId="0"/>
    <xf numFmtId="0" fontId="3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dxfs count="1">
    <dxf>
      <font>
        <b val="1"/>
        <color rgb="FFFFFFFF"/>
      </font>
      <fill>
        <patternFill patternType="solid">
          <f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045810/000104581019000023/0001045810-19-000023-index.htm" TargetMode="External" Id="rId1" /><Relationship Type="http://schemas.openxmlformats.org/officeDocument/2006/relationships/hyperlink" Target="https://www.sec.gov/Archives/edgar/data/1045810/000104581019000023/0001045810-19-000023-index.htm" TargetMode="External" Id="rId2" /><Relationship Type="http://schemas.openxmlformats.org/officeDocument/2006/relationships/hyperlink" Target="https://www.sec.gov/Archives/edgar/data/1045810/000104581020000010/0001045810-20-000010-index.htm" TargetMode="External" Id="rId3" /><Relationship Type="http://schemas.openxmlformats.org/officeDocument/2006/relationships/hyperlink" Target="https://www.sec.gov/Archives/edgar/data/1045810/000104581021000010/0001045810-21-000010-index.htm" TargetMode="External" Id="rId4" /><Relationship Type="http://schemas.openxmlformats.org/officeDocument/2006/relationships/hyperlink" Target="https://www.sec.gov/Archives/edgar/data/1045810/000104581022000036/0001045810-22-000036-index.htm" TargetMode="External" Id="rId5" /><Relationship Type="http://schemas.openxmlformats.org/officeDocument/2006/relationships/hyperlink" Target="https://www.sec.gov/Archives/edgar/data/1045810/000104581022000036/0001045810-22-000036-index.htm" TargetMode="External" Id="rId6" /><Relationship Type="http://schemas.openxmlformats.org/officeDocument/2006/relationships/hyperlink" Target="https://www.sec.gov/Archives/edgar/data/1045810/000104581022000036/0001045810-22-000036-index.htm" TargetMode="External" Id="rId7" /><Relationship Type="http://schemas.openxmlformats.org/officeDocument/2006/relationships/hyperlink" Target="https://www.sec.gov/Archives/edgar/data/1045810/000104581022000036/0001045810-22-000036-index.htm" TargetMode="External" Id="rId8" /><Relationship Type="http://schemas.openxmlformats.org/officeDocument/2006/relationships/hyperlink" Target="https://www.sec.gov/Archives/edgar/data/1045810/000104581022000036/0001045810-22-000036-index.htm" TargetMode="External" Id="rId9" /><Relationship Type="http://schemas.openxmlformats.org/officeDocument/2006/relationships/hyperlink" Target="https://www.sec.gov/Archives/edgar/data/1045810/000104581022000036/0001045810-22-000036-index.htm" TargetMode="External" Id="rId10" /><Relationship Type="http://schemas.openxmlformats.org/officeDocument/2006/relationships/hyperlink" Target="https://www.sec.gov/Archives/edgar/data/1045810/000104581022000036/0001045810-22-000036-index.htm" TargetMode="External" Id="rId11" /><Relationship Type="http://schemas.openxmlformats.org/officeDocument/2006/relationships/hyperlink" Target="https://www.sec.gov/Archives/edgar/data/1045810/000104581022000036/0001045810-22-000036-index.htm" TargetMode="External" Id="rId12" /><Relationship Type="http://schemas.openxmlformats.org/officeDocument/2006/relationships/hyperlink" Target="https://www.sec.gov/Archives/edgar/data/1045810/000104581021000010/0001045810-21-000010-index.htm" TargetMode="External" Id="rId13" /><Relationship Type="http://schemas.openxmlformats.org/officeDocument/2006/relationships/hyperlink" Target="https://www.sec.gov/Archives/edgar/data/1045810/000104581022000036/0001045810-22-000036-index.htm" TargetMode="External" Id="rId14" /><Relationship Type="http://schemas.openxmlformats.org/officeDocument/2006/relationships/hyperlink" Target="https://www.sec.gov/Archives/edgar/data/1045810/000104581022000036/0001045810-22-000036-index.htm" TargetMode="External" Id="rId15" /><Relationship Type="http://schemas.openxmlformats.org/officeDocument/2006/relationships/hyperlink" Target="https://www.sec.gov/Archives/edgar/data/1045810/000104581022000036/0001045810-22-000036-index.htm" TargetMode="External" Id="rId16" /><Relationship Type="http://schemas.openxmlformats.org/officeDocument/2006/relationships/hyperlink" Target="https://www.sec.gov/Archives/edgar/data/1045810/000104581022000036/0001045810-22-000036-index.htm" TargetMode="External" Id="rId17" /><Relationship Type="http://schemas.openxmlformats.org/officeDocument/2006/relationships/hyperlink" Target="https://www.sec.gov/Archives/edgar/data/1045810/000104581019000023/0001045810-19-000023-index.htm" TargetMode="External" Id="rId18" /><Relationship Type="http://schemas.openxmlformats.org/officeDocument/2006/relationships/hyperlink" Target="https://www.sec.gov/Archives/edgar/data/1045810/000104581019000023/0001045810-19-000023-index.htm" TargetMode="External" Id="rId19" /><Relationship Type="http://schemas.openxmlformats.org/officeDocument/2006/relationships/hyperlink" Target="https://www.sec.gov/Archives/edgar/data/1045810/000104581020000010/0001045810-20-000010-index.htm" TargetMode="External" Id="rId20" /><Relationship Type="http://schemas.openxmlformats.org/officeDocument/2006/relationships/hyperlink" Target="https://www.sec.gov/Archives/edgar/data/1045810/000104581021000010/0001045810-21-000010-index.htm" TargetMode="External" Id="rId21" /><Relationship Type="http://schemas.openxmlformats.org/officeDocument/2006/relationships/hyperlink" Target="https://www.sec.gov/Archives/edgar/data/1045810/000104581022000036/0001045810-22-000036-index.htm" TargetMode="External" Id="rId22" /><Relationship Type="http://schemas.openxmlformats.org/officeDocument/2006/relationships/hyperlink" Target="https://www.sec.gov/Archives/edgar/data/1045810/000104581022000036/0001045810-22-000036-index.htm" TargetMode="External" Id="rId23" /><Relationship Type="http://schemas.openxmlformats.org/officeDocument/2006/relationships/hyperlink" Target="https://www.sec.gov/Archives/edgar/data/1045810/000104581020000010/0001045810-20-000010-index.htm" TargetMode="External" Id="rId24" /><Relationship Type="http://schemas.openxmlformats.org/officeDocument/2006/relationships/hyperlink" Target="https://www.sec.gov/Archives/edgar/data/1045810/000104581021000010/0001045810-21-000010-index.htm" TargetMode="External" Id="rId25" /><Relationship Type="http://schemas.openxmlformats.org/officeDocument/2006/relationships/hyperlink" Target="https://www.sec.gov/Archives/edgar/data/1045810/000104581022000036/0001045810-22-000036-index.htm" TargetMode="External" Id="rId26" /><Relationship Type="http://schemas.openxmlformats.org/officeDocument/2006/relationships/hyperlink" Target="https://www.sec.gov/Archives/edgar/data/1045810/000104581022000036/0001045810-22-000036-index.htm" TargetMode="External" Id="rId27" /><Relationship Type="http://schemas.openxmlformats.org/officeDocument/2006/relationships/hyperlink" Target="https://www.sec.gov/Archives/edgar/data/1045810/000104581022000036/0001045810-22-000036-index.htm" TargetMode="External" Id="rId28" /><Relationship Type="http://schemas.openxmlformats.org/officeDocument/2006/relationships/hyperlink" Target="https://www.sec.gov/Archives/edgar/data/1045810/000104581022000036/0001045810-22-000036-index.htm" TargetMode="External" Id="rId29" /><Relationship Type="http://schemas.openxmlformats.org/officeDocument/2006/relationships/hyperlink" Target="https://www.sec.gov/Archives/edgar/data/1045810/000104581022000036/0001045810-22-000036-index.htm" TargetMode="External" Id="rId30" /><Relationship Type="http://schemas.openxmlformats.org/officeDocument/2006/relationships/hyperlink" Target="https://www.sec.gov/Archives/edgar/data/1045810/000104581022000036/0001045810-22-000036-index.htm" TargetMode="External" Id="rId31" /><Relationship Type="http://schemas.openxmlformats.org/officeDocument/2006/relationships/hyperlink" Target="https://www.sec.gov/Archives/edgar/data/1045810/000104581022000036/0001045810-22-000036-index.htm" TargetMode="External" Id="rId32" /><Relationship Type="http://schemas.openxmlformats.org/officeDocument/2006/relationships/hyperlink" Target="https://www.sec.gov/Archives/edgar/data/1045810/000104581022000036/0001045810-22-000036-index.htm" TargetMode="External" Id="rId33" /><Relationship Type="http://schemas.openxmlformats.org/officeDocument/2006/relationships/hyperlink" Target="https://www.sec.gov/Archives/edgar/data/1045810/000104581022000036/0001045810-22-000036-index.htm" TargetMode="External" Id="rId34" /><Relationship Type="http://schemas.openxmlformats.org/officeDocument/2006/relationships/hyperlink" Target="https://www.sec.gov/Archives/edgar/data/1045810/000104581022000036/0001045810-22-000036-index.htm" TargetMode="External" Id="rId35" /><Relationship Type="http://schemas.openxmlformats.org/officeDocument/2006/relationships/hyperlink" Target="https://www.sec.gov/Archives/edgar/data/1045810/000104581022000036/0001045810-22-000036-index.htm" TargetMode="External" Id="rId36" /><Relationship Type="http://schemas.openxmlformats.org/officeDocument/2006/relationships/hyperlink" Target="https://www.sec.gov/Archives/edgar/data/1045810/000104581022000036/0001045810-22-000036-index.htm" TargetMode="External" Id="rId37" /><Relationship Type="http://schemas.openxmlformats.org/officeDocument/2006/relationships/hyperlink" Target="https://www.sec.gov/Archives/edgar/data/1045810/000104581022000036/0001045810-22-000036-index.htm" TargetMode="External" Id="rId38" /><Relationship Type="http://schemas.openxmlformats.org/officeDocument/2006/relationships/hyperlink" Target="https://www.sec.gov/Archives/edgar/data/1045810/000104581022000036/0001045810-22-000036-index.htm" TargetMode="External" Id="rId39" /><Relationship Type="http://schemas.openxmlformats.org/officeDocument/2006/relationships/hyperlink" Target="https://www.sec.gov/Archives/edgar/data/1045810/000104581022000036/0001045810-22-000036-index.htm" TargetMode="External" Id="rId40" /><Relationship Type="http://schemas.openxmlformats.org/officeDocument/2006/relationships/hyperlink" Target="https://www.sec.gov/Archives/edgar/data/1045810/000104581023000017/0001045810-23-000017-index.htm" TargetMode="External" Id="rId41" /><Relationship Type="http://schemas.openxmlformats.org/officeDocument/2006/relationships/hyperlink" Target="https://www.sec.gov/Archives/edgar/data/1045810/000104581022000036/0001045810-22-000036-index.htm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3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Company profile</t>
        </is>
      </c>
    </row>
    <row r="4">
      <c r="B4" s="3" t="inlineStr">
        <is>
          <t>Source: SEC EDGAR XBRL company facts · CIK 0001045810 · filings only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FY2018</t>
        </is>
      </c>
      <c r="E6" s="5" t="inlineStr">
        <is>
          <t>FY2019</t>
        </is>
      </c>
      <c r="F6" s="5" t="inlineStr">
        <is>
          <t>FY2020</t>
        </is>
      </c>
      <c r="G6" s="5" t="inlineStr">
        <is>
          <t>FY2021</t>
        </is>
      </c>
      <c r="H6" s="5" t="inlineStr">
        <is>
          <t>FY2022</t>
        </is>
      </c>
      <c r="J6" s="6" t="inlineStr">
        <is>
          <t>Src</t>
        </is>
      </c>
    </row>
    <row r="7">
      <c r="B7" s="7" t="inlineStr">
        <is>
          <t>Scale</t>
        </is>
      </c>
      <c r="D7" s="8" t="n"/>
      <c r="E7" s="8" t="n"/>
      <c r="F7" s="8" t="n"/>
      <c r="G7" s="8" t="n"/>
      <c r="H7" s="8" t="n"/>
    </row>
    <row r="8">
      <c r="B8" s="9" t="inlineStr">
        <is>
          <t>Revenue</t>
        </is>
      </c>
      <c r="D8" s="10" t="n">
        <v>9714000000</v>
      </c>
      <c r="E8" s="10" t="n">
        <v>11716000000</v>
      </c>
      <c r="F8" s="10" t="n">
        <v>10918000000</v>
      </c>
      <c r="G8" s="10" t="n">
        <v>16675000000</v>
      </c>
      <c r="H8" s="10" t="n">
        <v>26914000000</v>
      </c>
      <c r="J8" s="11" t="inlineStr">
        <is>
          <t>[1][2][3][4][5]</t>
        </is>
      </c>
    </row>
    <row r="9">
      <c r="B9" s="12" t="inlineStr">
        <is>
          <t xml:space="preserve">    % growth</t>
        </is>
      </c>
      <c r="D9" s="13" t="inlineStr">
        <is>
          <t>—</t>
        </is>
      </c>
      <c r="E9" s="14">
        <f>IFERROR(E8/D8-1,"")</f>
        <v/>
      </c>
      <c r="F9" s="14">
        <f>IFERROR(F8/E8-1,"")</f>
        <v/>
      </c>
      <c r="G9" s="14">
        <f>IFERROR(G8/F8-1,"")</f>
        <v/>
      </c>
      <c r="H9" s="14">
        <f>IFERROR(H8/G8-1,"")</f>
        <v/>
      </c>
    </row>
    <row r="10">
      <c r="B10" s="9" t="inlineStr">
        <is>
          <t>Gross profit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15" t="inlineStr">
        <is>
          <t>—</t>
        </is>
      </c>
      <c r="H10" s="10" t="n">
        <v>17475000000</v>
      </c>
      <c r="J10" s="11" t="inlineStr">
        <is>
          <t>[6]</t>
        </is>
      </c>
    </row>
    <row r="11">
      <c r="B11" s="12" t="inlineStr">
        <is>
          <t xml:space="preserve">    % margin</t>
        </is>
      </c>
      <c r="D11" s="14">
        <f>IFERROR(D10/D8,"")</f>
        <v/>
      </c>
      <c r="E11" s="14">
        <f>IFERROR(E10/E8,"")</f>
        <v/>
      </c>
      <c r="F11" s="14">
        <f>IFERROR(F10/F8,"")</f>
        <v/>
      </c>
      <c r="G11" s="14">
        <f>IFERROR(G10/G8,"")</f>
        <v/>
      </c>
      <c r="H11" s="14">
        <f>IFERROR(H10/H8,"")</f>
        <v/>
      </c>
    </row>
    <row r="12">
      <c r="B12" s="9" t="inlineStr">
        <is>
          <t>Operating income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5" t="inlineStr">
        <is>
          <t>—</t>
        </is>
      </c>
      <c r="H12" s="10" t="n">
        <v>10041000000</v>
      </c>
      <c r="J12" s="11" t="inlineStr">
        <is>
          <t>[7]</t>
        </is>
      </c>
    </row>
    <row r="13">
      <c r="B13" s="12" t="inlineStr">
        <is>
          <t xml:space="preserve">    % margin</t>
        </is>
      </c>
      <c r="D13" s="14">
        <f>IFERROR(D12/D8,"")</f>
        <v/>
      </c>
      <c r="E13" s="14">
        <f>IFERROR(E12/E8,"")</f>
        <v/>
      </c>
      <c r="F13" s="14">
        <f>IFERROR(F12/F8,"")</f>
        <v/>
      </c>
      <c r="G13" s="14">
        <f>IFERROR(G12/G8,"")</f>
        <v/>
      </c>
      <c r="H13" s="14">
        <f>IFERROR(H12/H8,"")</f>
        <v/>
      </c>
    </row>
    <row r="14">
      <c r="B14" s="9" t="inlineStr">
        <is>
          <t>Net income</t>
        </is>
      </c>
      <c r="D14" s="15" t="inlineStr">
        <is>
          <t>—</t>
        </is>
      </c>
      <c r="E14" s="15" t="inlineStr">
        <is>
          <t>—</t>
        </is>
      </c>
      <c r="F14" s="15" t="inlineStr">
        <is>
          <t>—</t>
        </is>
      </c>
      <c r="G14" s="15" t="inlineStr">
        <is>
          <t>—</t>
        </is>
      </c>
      <c r="H14" s="10" t="n">
        <v>9752000000</v>
      </c>
      <c r="J14" s="11" t="inlineStr">
        <is>
          <t>[8]</t>
        </is>
      </c>
    </row>
    <row r="15">
      <c r="B15" s="12" t="inlineStr">
        <is>
          <t xml:space="preserve">    % margin</t>
        </is>
      </c>
      <c r="D15" s="14">
        <f>IFERROR(D14/D8,"")</f>
        <v/>
      </c>
      <c r="E15" s="14">
        <f>IFERROR(E14/E8,"")</f>
        <v/>
      </c>
      <c r="F15" s="14">
        <f>IFERROR(F14/F8,"")</f>
        <v/>
      </c>
      <c r="G15" s="14">
        <f>IFERROR(G14/G8,"")</f>
        <v/>
      </c>
      <c r="H15" s="14">
        <f>IFERROR(H14/H8,"")</f>
        <v/>
      </c>
    </row>
    <row r="17">
      <c r="B17" s="7" t="inlineStr">
        <is>
          <t>Per share</t>
        </is>
      </c>
      <c r="D17" s="8" t="n"/>
      <c r="E17" s="8" t="n"/>
      <c r="F17" s="8" t="n"/>
      <c r="G17" s="8" t="n"/>
      <c r="H17" s="8" t="n"/>
    </row>
    <row r="18">
      <c r="B18" s="9" t="inlineStr">
        <is>
          <t>Diluted EPS</t>
        </is>
      </c>
      <c r="D18" s="16" t="inlineStr">
        <is>
          <t>—</t>
        </is>
      </c>
      <c r="E18" s="16" t="inlineStr">
        <is>
          <t>—</t>
        </is>
      </c>
      <c r="F18" s="16" t="inlineStr">
        <is>
          <t>—</t>
        </is>
      </c>
      <c r="G18" s="16" t="inlineStr">
        <is>
          <t>—</t>
        </is>
      </c>
      <c r="H18" s="17" t="n">
        <v>3.85</v>
      </c>
      <c r="J18" s="11" t="inlineStr">
        <is>
          <t>[9]</t>
        </is>
      </c>
    </row>
    <row r="19">
      <c r="B19" s="9" t="inlineStr">
        <is>
          <t>Diluted shares outstanding</t>
        </is>
      </c>
      <c r="D19" s="18" t="inlineStr">
        <is>
          <t>—</t>
        </is>
      </c>
      <c r="E19" s="18" t="inlineStr">
        <is>
          <t>—</t>
        </is>
      </c>
      <c r="F19" s="18" t="inlineStr">
        <is>
          <t>—</t>
        </is>
      </c>
      <c r="G19" s="18" t="inlineStr">
        <is>
          <t>—</t>
        </is>
      </c>
      <c r="H19" s="19" t="n">
        <v>2535000000</v>
      </c>
      <c r="J19" s="11" t="inlineStr">
        <is>
          <t>[10]</t>
        </is>
      </c>
    </row>
    <row r="21">
      <c r="B21" s="7" t="inlineStr">
        <is>
          <t>Cash generation</t>
        </is>
      </c>
      <c r="D21" s="8" t="n"/>
      <c r="E21" s="8" t="n"/>
      <c r="F21" s="8" t="n"/>
      <c r="G21" s="8" t="n"/>
      <c r="H21" s="8" t="n"/>
    </row>
    <row r="22">
      <c r="B22" s="9" t="inlineStr">
        <is>
          <t>Cash from operations</t>
        </is>
      </c>
      <c r="D22" s="15" t="inlineStr">
        <is>
          <t>—</t>
        </is>
      </c>
      <c r="E22" s="15" t="inlineStr">
        <is>
          <t>—</t>
        </is>
      </c>
      <c r="F22" s="15" t="inlineStr">
        <is>
          <t>—</t>
        </is>
      </c>
      <c r="G22" s="15" t="inlineStr">
        <is>
          <t>—</t>
        </is>
      </c>
      <c r="H22" s="10" t="n">
        <v>9108000000</v>
      </c>
      <c r="J22" s="11" t="inlineStr">
        <is>
          <t>[11]</t>
        </is>
      </c>
    </row>
    <row r="23">
      <c r="B23" s="9" t="inlineStr">
        <is>
          <t>Capital expenditure</t>
        </is>
      </c>
      <c r="D23" s="15" t="inlineStr">
        <is>
          <t>—</t>
        </is>
      </c>
      <c r="E23" s="15" t="inlineStr">
        <is>
          <t>—</t>
        </is>
      </c>
      <c r="F23" s="15" t="inlineStr">
        <is>
          <t>—</t>
        </is>
      </c>
      <c r="G23" s="15" t="inlineStr">
        <is>
          <t>—</t>
        </is>
      </c>
      <c r="H23" s="15" t="inlineStr">
        <is>
          <t>—</t>
        </is>
      </c>
    </row>
    <row r="24">
      <c r="B24" s="20" t="inlineStr">
        <is>
          <t>Free cash flow</t>
        </is>
      </c>
      <c r="D24" s="21">
        <f>IFERROR(D22-D23,"")</f>
        <v/>
      </c>
      <c r="E24" s="21">
        <f>IFERROR(E22-E23,"")</f>
        <v/>
      </c>
      <c r="F24" s="21">
        <f>IFERROR(F22-F23,"")</f>
        <v/>
      </c>
      <c r="G24" s="21">
        <f>IFERROR(G22-G23,"")</f>
        <v/>
      </c>
      <c r="H24" s="21">
        <f>IFERROR(H22-H23,"")</f>
        <v/>
      </c>
    </row>
    <row r="25">
      <c r="B25" s="12" t="inlineStr">
        <is>
          <t xml:space="preserve">    % of revenue</t>
        </is>
      </c>
      <c r="D25" s="14">
        <f>IFERROR(D24/D8,"")</f>
        <v/>
      </c>
      <c r="E25" s="14">
        <f>IFERROR(E24/E8,"")</f>
        <v/>
      </c>
      <c r="F25" s="14">
        <f>IFERROR(F24/F8,"")</f>
        <v/>
      </c>
      <c r="G25" s="14">
        <f>IFERROR(G24/G8,"")</f>
        <v/>
      </c>
      <c r="H25" s="14">
        <f>IFERROR(H24/H8,"")</f>
        <v/>
      </c>
    </row>
    <row r="27">
      <c r="B27" s="7" t="inlineStr">
        <is>
          <t>Balance sheet</t>
        </is>
      </c>
      <c r="D27" s="8" t="n"/>
      <c r="E27" s="8" t="n"/>
      <c r="F27" s="8" t="n"/>
      <c r="G27" s="8" t="n"/>
      <c r="H27" s="8" t="n"/>
    </row>
    <row r="28">
      <c r="B28" s="9" t="inlineStr">
        <is>
          <t>Cash and equivalents</t>
        </is>
      </c>
      <c r="D28" s="15" t="inlineStr">
        <is>
          <t>—</t>
        </is>
      </c>
      <c r="E28" s="15" t="inlineStr">
        <is>
          <t>—</t>
        </is>
      </c>
      <c r="F28" s="15" t="inlineStr">
        <is>
          <t>—</t>
        </is>
      </c>
      <c r="G28" s="15" t="inlineStr">
        <is>
          <t>—</t>
        </is>
      </c>
      <c r="H28" s="10" t="n">
        <v>1990000000</v>
      </c>
      <c r="J28" s="11" t="inlineStr">
        <is>
          <t>[12]</t>
        </is>
      </c>
    </row>
    <row r="29">
      <c r="B29" s="9" t="inlineStr">
        <is>
          <t>Short-term investments</t>
        </is>
      </c>
      <c r="D29" s="15" t="inlineStr">
        <is>
          <t>—</t>
        </is>
      </c>
      <c r="E29" s="15" t="inlineStr">
        <is>
          <t>—</t>
        </is>
      </c>
      <c r="F29" s="15" t="inlineStr">
        <is>
          <t>—</t>
        </is>
      </c>
      <c r="G29" s="10" t="n">
        <v>10714000000</v>
      </c>
      <c r="H29" s="10" t="n">
        <v>19218000000</v>
      </c>
      <c r="J29" s="11" t="inlineStr">
        <is>
          <t>[13][14]</t>
        </is>
      </c>
    </row>
    <row r="30">
      <c r="B30" s="9" t="inlineStr">
        <is>
          <t>Total debt</t>
        </is>
      </c>
      <c r="D30" s="15" t="inlineStr">
        <is>
          <t>—</t>
        </is>
      </c>
      <c r="E30" s="15" t="inlineStr">
        <is>
          <t>—</t>
        </is>
      </c>
      <c r="F30" s="15" t="inlineStr">
        <is>
          <t>—</t>
        </is>
      </c>
      <c r="G30" s="15" t="inlineStr">
        <is>
          <t>—</t>
        </is>
      </c>
      <c r="H30" s="10" t="n">
        <v>10946000000</v>
      </c>
      <c r="J30" s="11" t="inlineStr">
        <is>
          <t>[15]</t>
        </is>
      </c>
    </row>
    <row r="31">
      <c r="B31" s="20" t="inlineStr">
        <is>
          <t>Net debt / (net cash)</t>
        </is>
      </c>
      <c r="D31" s="15" t="inlineStr">
        <is>
          <t>—</t>
        </is>
      </c>
      <c r="E31" s="15" t="inlineStr">
        <is>
          <t>—</t>
        </is>
      </c>
      <c r="F31" s="15" t="inlineStr">
        <is>
          <t>—</t>
        </is>
      </c>
      <c r="G31" s="15" t="inlineStr">
        <is>
          <t>—</t>
        </is>
      </c>
      <c r="H31" s="22" t="n">
        <v>-10262000000</v>
      </c>
      <c r="J31" s="11" t="inlineStr">
        <is>
          <t>[16]</t>
        </is>
      </c>
    </row>
    <row r="32">
      <c r="B32" s="9" t="inlineStr">
        <is>
          <t>Total shareholders' equity</t>
        </is>
      </c>
      <c r="D32" s="15" t="inlineStr">
        <is>
          <t>—</t>
        </is>
      </c>
      <c r="E32" s="15" t="inlineStr">
        <is>
          <t>—</t>
        </is>
      </c>
      <c r="F32" s="15" t="inlineStr">
        <is>
          <t>—</t>
        </is>
      </c>
      <c r="G32" s="15" t="inlineStr">
        <is>
          <t>—</t>
        </is>
      </c>
      <c r="H32" s="10" t="n">
        <v>26612000000</v>
      </c>
      <c r="J32" s="11" t="inlineStr">
        <is>
          <t>[17]</t>
        </is>
      </c>
    </row>
    <row r="34">
      <c r="B34" s="23" t="inlineStr">
        <is>
          <t>Blue = value as tagged in the filing. Black = formula computed in this workbook.</t>
        </is>
      </c>
    </row>
    <row r="35">
      <c r="B35" s="23" t="inlineStr">
        <is>
          <t>An em dash means the filer did not tag that line. It does not mean zero.</t>
        </is>
      </c>
    </row>
    <row r="36">
      <c r="B36" s="23" t="inlineStr">
        <is>
          <t>Not tagged by this filer: minority_interest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J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Income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FY2018</t>
        </is>
      </c>
      <c r="E6" s="5" t="inlineStr">
        <is>
          <t>FY2019</t>
        </is>
      </c>
      <c r="F6" s="5" t="inlineStr">
        <is>
          <t>FY2020</t>
        </is>
      </c>
      <c r="G6" s="5" t="inlineStr">
        <is>
          <t>FY2021</t>
        </is>
      </c>
      <c r="H6" s="5" t="inlineStr">
        <is>
          <t>FY2022</t>
        </is>
      </c>
      <c r="J6" s="6" t="inlineStr">
        <is>
          <t>Src</t>
        </is>
      </c>
    </row>
    <row r="7">
      <c r="B7" s="20" t="inlineStr">
        <is>
          <t>Revenue</t>
        </is>
      </c>
      <c r="D7" s="22" t="n">
        <v>9714000000</v>
      </c>
      <c r="E7" s="22" t="n">
        <v>11716000000</v>
      </c>
      <c r="F7" s="22" t="n">
        <v>10918000000</v>
      </c>
      <c r="G7" s="22" t="n">
        <v>16675000000</v>
      </c>
      <c r="H7" s="22" t="n">
        <v>26914000000</v>
      </c>
      <c r="J7" s="11" t="inlineStr">
        <is>
          <t>[1][2][3][4][5]</t>
        </is>
      </c>
    </row>
    <row r="8">
      <c r="B8" s="12" t="inlineStr">
        <is>
          <t xml:space="preserve">    % growth</t>
        </is>
      </c>
      <c r="D8" s="13" t="inlineStr">
        <is>
          <t>—</t>
        </is>
      </c>
      <c r="E8" s="14">
        <f>IFERROR(E7/D7-1,"")</f>
        <v/>
      </c>
      <c r="F8" s="14">
        <f>IFERROR(F7/E7-1,"")</f>
        <v/>
      </c>
      <c r="G8" s="14">
        <f>IFERROR(G7/F7-1,"")</f>
        <v/>
      </c>
      <c r="H8" s="14">
        <f>IFERROR(H7/G7-1,"")</f>
        <v/>
      </c>
    </row>
    <row r="9">
      <c r="B9" s="9" t="inlineStr">
        <is>
          <t>Cost of revenue</t>
        </is>
      </c>
      <c r="D9" s="10" t="n">
        <v>3892000000</v>
      </c>
      <c r="E9" s="10" t="n">
        <v>4545000000</v>
      </c>
      <c r="F9" s="10" t="n">
        <v>4150000000</v>
      </c>
      <c r="G9" s="10" t="n">
        <v>6279000000</v>
      </c>
      <c r="H9" s="15" t="inlineStr">
        <is>
          <t>—</t>
        </is>
      </c>
      <c r="J9" s="11" t="inlineStr">
        <is>
          <t>[18][19][20][21]</t>
        </is>
      </c>
    </row>
    <row r="10">
      <c r="B10" s="20" t="inlineStr">
        <is>
          <t>Gross profit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15" t="inlineStr">
        <is>
          <t>—</t>
        </is>
      </c>
      <c r="H10" s="22" t="n">
        <v>17475000000</v>
      </c>
      <c r="J10" s="11" t="inlineStr">
        <is>
          <t>[6]</t>
        </is>
      </c>
    </row>
    <row r="11">
      <c r="B11" s="12" t="inlineStr">
        <is>
          <t xml:space="preserve">    % margin</t>
        </is>
      </c>
      <c r="D11" s="14">
        <f>IFERROR(D10/D7,"")</f>
        <v/>
      </c>
      <c r="E11" s="14">
        <f>IFERROR(E10/E7,"")</f>
        <v/>
      </c>
      <c r="F11" s="14">
        <f>IFERROR(F10/F7,"")</f>
        <v/>
      </c>
      <c r="G11" s="14">
        <f>IFERROR(G10/G7,"")</f>
        <v/>
      </c>
      <c r="H11" s="14">
        <f>IFERROR(H10/H7,"")</f>
        <v/>
      </c>
    </row>
    <row r="12">
      <c r="B12" s="9" t="inlineStr">
        <is>
          <t>Research and development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5" t="inlineStr">
        <is>
          <t>—</t>
        </is>
      </c>
      <c r="H12" s="10" t="n">
        <v>5268000000</v>
      </c>
      <c r="J12" s="11" t="inlineStr">
        <is>
          <t>[22]</t>
        </is>
      </c>
    </row>
    <row r="13">
      <c r="B13" s="9" t="inlineStr">
        <is>
          <t>Selling, general and administrative</t>
        </is>
      </c>
      <c r="D13" s="15" t="inlineStr">
        <is>
          <t>—</t>
        </is>
      </c>
      <c r="E13" s="15" t="inlineStr">
        <is>
          <t>—</t>
        </is>
      </c>
      <c r="F13" s="15" t="inlineStr">
        <is>
          <t>—</t>
        </is>
      </c>
      <c r="G13" s="15" t="inlineStr">
        <is>
          <t>—</t>
        </is>
      </c>
      <c r="H13" s="10" t="n">
        <v>2166000000</v>
      </c>
      <c r="J13" s="11" t="inlineStr">
        <is>
          <t>[23]</t>
        </is>
      </c>
    </row>
    <row r="14">
      <c r="B14" s="20" t="inlineStr">
        <is>
          <t>Operating income</t>
        </is>
      </c>
      <c r="D14" s="15" t="inlineStr">
        <is>
          <t>—</t>
        </is>
      </c>
      <c r="E14" s="15" t="inlineStr">
        <is>
          <t>—</t>
        </is>
      </c>
      <c r="F14" s="15" t="inlineStr">
        <is>
          <t>—</t>
        </is>
      </c>
      <c r="G14" s="15" t="inlineStr">
        <is>
          <t>—</t>
        </is>
      </c>
      <c r="H14" s="22" t="n">
        <v>10041000000</v>
      </c>
      <c r="J14" s="11" t="inlineStr">
        <is>
          <t>[7]</t>
        </is>
      </c>
    </row>
    <row r="15">
      <c r="B15" s="12" t="inlineStr">
        <is>
          <t xml:space="preserve">    % margin</t>
        </is>
      </c>
      <c r="D15" s="14">
        <f>IFERROR(D14/D7,"")</f>
        <v/>
      </c>
      <c r="E15" s="14">
        <f>IFERROR(E14/E7,"")</f>
        <v/>
      </c>
      <c r="F15" s="14">
        <f>IFERROR(F14/F7,"")</f>
        <v/>
      </c>
      <c r="G15" s="14">
        <f>IFERROR(G14/G7,"")</f>
        <v/>
      </c>
      <c r="H15" s="14">
        <f>IFERROR(H14/H7,"")</f>
        <v/>
      </c>
    </row>
    <row r="16">
      <c r="B16" s="9" t="inlineStr">
        <is>
          <t>Interest expense</t>
        </is>
      </c>
      <c r="D16" s="15" t="inlineStr">
        <is>
          <t>—</t>
        </is>
      </c>
      <c r="E16" s="15" t="inlineStr">
        <is>
          <t>—</t>
        </is>
      </c>
      <c r="F16" s="10" t="n">
        <v>52000000</v>
      </c>
      <c r="G16" s="10" t="n">
        <v>184000000</v>
      </c>
      <c r="H16" s="10" t="n">
        <v>236000000</v>
      </c>
      <c r="J16" s="11" t="inlineStr">
        <is>
          <t>[24][25][26]</t>
        </is>
      </c>
    </row>
    <row r="17">
      <c r="B17" s="9" t="inlineStr">
        <is>
          <t>Pre-tax income</t>
        </is>
      </c>
      <c r="D17" s="15" t="inlineStr">
        <is>
          <t>—</t>
        </is>
      </c>
      <c r="E17" s="15" t="inlineStr">
        <is>
          <t>—</t>
        </is>
      </c>
      <c r="F17" s="15" t="inlineStr">
        <is>
          <t>—</t>
        </is>
      </c>
      <c r="G17" s="15" t="inlineStr">
        <is>
          <t>—</t>
        </is>
      </c>
      <c r="H17" s="10" t="n">
        <v>9941000000</v>
      </c>
      <c r="J17" s="11" t="inlineStr">
        <is>
          <t>[27]</t>
        </is>
      </c>
    </row>
    <row r="18">
      <c r="B18" s="9" t="inlineStr">
        <is>
          <t>Income tax expense</t>
        </is>
      </c>
      <c r="D18" s="15" t="inlineStr">
        <is>
          <t>—</t>
        </is>
      </c>
      <c r="E18" s="15" t="inlineStr">
        <is>
          <t>—</t>
        </is>
      </c>
      <c r="F18" s="15" t="inlineStr">
        <is>
          <t>—</t>
        </is>
      </c>
      <c r="G18" s="15" t="inlineStr">
        <is>
          <t>—</t>
        </is>
      </c>
      <c r="H18" s="10" t="n">
        <v>189000000</v>
      </c>
      <c r="J18" s="11" t="inlineStr">
        <is>
          <t>[28]</t>
        </is>
      </c>
    </row>
    <row r="19">
      <c r="B19" s="20" t="inlineStr">
        <is>
          <t>Net income</t>
        </is>
      </c>
      <c r="D19" s="15" t="inlineStr">
        <is>
          <t>—</t>
        </is>
      </c>
      <c r="E19" s="15" t="inlineStr">
        <is>
          <t>—</t>
        </is>
      </c>
      <c r="F19" s="15" t="inlineStr">
        <is>
          <t>—</t>
        </is>
      </c>
      <c r="G19" s="15" t="inlineStr">
        <is>
          <t>—</t>
        </is>
      </c>
      <c r="H19" s="22" t="n">
        <v>9752000000</v>
      </c>
      <c r="J19" s="11" t="inlineStr">
        <is>
          <t>[8]</t>
        </is>
      </c>
    </row>
    <row r="20">
      <c r="B20" s="12" t="inlineStr">
        <is>
          <t xml:space="preserve">    % margin</t>
        </is>
      </c>
      <c r="D20" s="14">
        <f>IFERROR(D19/D7,"")</f>
        <v/>
      </c>
      <c r="E20" s="14">
        <f>IFERROR(E19/E7,"")</f>
        <v/>
      </c>
      <c r="F20" s="14">
        <f>IFERROR(F19/F7,"")</f>
        <v/>
      </c>
      <c r="G20" s="14">
        <f>IFERROR(G19/G7,"")</f>
        <v/>
      </c>
      <c r="H20" s="14">
        <f>IFERROR(H19/H7,"")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2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Balance sheet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FY2018</t>
        </is>
      </c>
      <c r="E6" s="5" t="inlineStr">
        <is>
          <t>FY2019</t>
        </is>
      </c>
      <c r="F6" s="5" t="inlineStr">
        <is>
          <t>FY2020</t>
        </is>
      </c>
      <c r="G6" s="5" t="inlineStr">
        <is>
          <t>FY2021</t>
        </is>
      </c>
      <c r="H6" s="5" t="inlineStr">
        <is>
          <t>FY2022</t>
        </is>
      </c>
      <c r="J6" s="6" t="inlineStr">
        <is>
          <t>Src</t>
        </is>
      </c>
    </row>
    <row r="7">
      <c r="B7" s="9" t="inlineStr">
        <is>
          <t>Cash and equivalents</t>
        </is>
      </c>
      <c r="D7" s="15" t="inlineStr">
        <is>
          <t>—</t>
        </is>
      </c>
      <c r="E7" s="15" t="inlineStr">
        <is>
          <t>—</t>
        </is>
      </c>
      <c r="F7" s="15" t="inlineStr">
        <is>
          <t>—</t>
        </is>
      </c>
      <c r="G7" s="15" t="inlineStr">
        <is>
          <t>—</t>
        </is>
      </c>
      <c r="H7" s="10" t="n">
        <v>1990000000</v>
      </c>
      <c r="J7" s="11" t="inlineStr">
        <is>
          <t>[12]</t>
        </is>
      </c>
    </row>
    <row r="8">
      <c r="B8" s="9" t="inlineStr">
        <is>
          <t>Short-term investments</t>
        </is>
      </c>
      <c r="D8" s="15" t="inlineStr">
        <is>
          <t>—</t>
        </is>
      </c>
      <c r="E8" s="15" t="inlineStr">
        <is>
          <t>—</t>
        </is>
      </c>
      <c r="F8" s="15" t="inlineStr">
        <is>
          <t>—</t>
        </is>
      </c>
      <c r="G8" s="10" t="n">
        <v>10714000000</v>
      </c>
      <c r="H8" s="10" t="n">
        <v>19218000000</v>
      </c>
      <c r="J8" s="11" t="inlineStr">
        <is>
          <t>[13][14]</t>
        </is>
      </c>
    </row>
    <row r="9">
      <c r="B9" s="9" t="inlineStr">
        <is>
          <t>Accounts receivable</t>
        </is>
      </c>
      <c r="D9" s="15" t="inlineStr">
        <is>
          <t>—</t>
        </is>
      </c>
      <c r="E9" s="15" t="inlineStr">
        <is>
          <t>—</t>
        </is>
      </c>
      <c r="F9" s="15" t="inlineStr">
        <is>
          <t>—</t>
        </is>
      </c>
      <c r="G9" s="15" t="inlineStr">
        <is>
          <t>—</t>
        </is>
      </c>
      <c r="H9" s="10" t="n">
        <v>4650000000</v>
      </c>
      <c r="J9" s="11" t="inlineStr">
        <is>
          <t>[29]</t>
        </is>
      </c>
    </row>
    <row r="10">
      <c r="B10" s="9" t="inlineStr">
        <is>
          <t>Inventory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15" t="inlineStr">
        <is>
          <t>—</t>
        </is>
      </c>
      <c r="H10" s="10" t="n">
        <v>2605000000</v>
      </c>
      <c r="J10" s="11" t="inlineStr">
        <is>
          <t>[30]</t>
        </is>
      </c>
    </row>
    <row r="11">
      <c r="B11" s="20" t="inlineStr">
        <is>
          <t>Total current assets</t>
        </is>
      </c>
      <c r="D11" s="15" t="inlineStr">
        <is>
          <t>—</t>
        </is>
      </c>
      <c r="E11" s="15" t="inlineStr">
        <is>
          <t>—</t>
        </is>
      </c>
      <c r="F11" s="15" t="inlineStr">
        <is>
          <t>—</t>
        </is>
      </c>
      <c r="G11" s="15" t="inlineStr">
        <is>
          <t>—</t>
        </is>
      </c>
      <c r="H11" s="22" t="n">
        <v>28829000000</v>
      </c>
      <c r="J11" s="11" t="inlineStr">
        <is>
          <t>[31]</t>
        </is>
      </c>
    </row>
    <row r="12">
      <c r="B12" s="9" t="inlineStr">
        <is>
          <t>Property, plant and equipment, net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5" t="inlineStr">
        <is>
          <t>—</t>
        </is>
      </c>
      <c r="H12" s="10" t="n">
        <v>2778000000</v>
      </c>
      <c r="J12" s="11" t="inlineStr">
        <is>
          <t>[32]</t>
        </is>
      </c>
    </row>
    <row r="13">
      <c r="B13" s="9" t="inlineStr">
        <is>
          <t>Goodwill</t>
        </is>
      </c>
      <c r="D13" s="15" t="inlineStr">
        <is>
          <t>—</t>
        </is>
      </c>
      <c r="E13" s="15" t="inlineStr">
        <is>
          <t>—</t>
        </is>
      </c>
      <c r="F13" s="15" t="inlineStr">
        <is>
          <t>—</t>
        </is>
      </c>
      <c r="G13" s="15" t="inlineStr">
        <is>
          <t>—</t>
        </is>
      </c>
      <c r="H13" s="10" t="n">
        <v>4349000000</v>
      </c>
      <c r="J13" s="11" t="inlineStr">
        <is>
          <t>[33]</t>
        </is>
      </c>
    </row>
    <row r="14">
      <c r="B14" s="20" t="inlineStr">
        <is>
          <t>Total assets</t>
        </is>
      </c>
      <c r="D14" s="15" t="inlineStr">
        <is>
          <t>—</t>
        </is>
      </c>
      <c r="E14" s="15" t="inlineStr">
        <is>
          <t>—</t>
        </is>
      </c>
      <c r="F14" s="15" t="inlineStr">
        <is>
          <t>—</t>
        </is>
      </c>
      <c r="G14" s="15" t="inlineStr">
        <is>
          <t>—</t>
        </is>
      </c>
      <c r="H14" s="22" t="n">
        <v>44187000000</v>
      </c>
      <c r="J14" s="11" t="inlineStr">
        <is>
          <t>[34]</t>
        </is>
      </c>
    </row>
    <row r="15">
      <c r="B15" s="9" t="inlineStr">
        <is>
          <t>Accounts payable</t>
        </is>
      </c>
      <c r="D15" s="15" t="inlineStr">
        <is>
          <t>—</t>
        </is>
      </c>
      <c r="E15" s="15" t="inlineStr">
        <is>
          <t>—</t>
        </is>
      </c>
      <c r="F15" s="15" t="inlineStr">
        <is>
          <t>—</t>
        </is>
      </c>
      <c r="G15" s="15" t="inlineStr">
        <is>
          <t>—</t>
        </is>
      </c>
      <c r="H15" s="10" t="n">
        <v>1783000000</v>
      </c>
      <c r="J15" s="11" t="inlineStr">
        <is>
          <t>[35]</t>
        </is>
      </c>
    </row>
    <row r="16">
      <c r="B16" s="20" t="inlineStr">
        <is>
          <t>Total current liabilities</t>
        </is>
      </c>
      <c r="D16" s="15" t="inlineStr">
        <is>
          <t>—</t>
        </is>
      </c>
      <c r="E16" s="15" t="inlineStr">
        <is>
          <t>—</t>
        </is>
      </c>
      <c r="F16" s="15" t="inlineStr">
        <is>
          <t>—</t>
        </is>
      </c>
      <c r="G16" s="15" t="inlineStr">
        <is>
          <t>—</t>
        </is>
      </c>
      <c r="H16" s="22" t="n">
        <v>4335000000</v>
      </c>
      <c r="J16" s="11" t="inlineStr">
        <is>
          <t>[36]</t>
        </is>
      </c>
    </row>
    <row r="17">
      <c r="B17" s="9" t="inlineStr">
        <is>
          <t>Short-term debt</t>
        </is>
      </c>
      <c r="D17" s="15" t="inlineStr">
        <is>
          <t>—</t>
        </is>
      </c>
      <c r="E17" s="15" t="inlineStr">
        <is>
          <t>—</t>
        </is>
      </c>
      <c r="F17" s="15" t="inlineStr">
        <is>
          <t>—</t>
        </is>
      </c>
      <c r="G17" s="15" t="inlineStr">
        <is>
          <t>—</t>
        </is>
      </c>
      <c r="H17" s="10" t="n">
        <v>0</v>
      </c>
      <c r="J17" s="11" t="inlineStr">
        <is>
          <t>[16]</t>
        </is>
      </c>
    </row>
    <row r="18">
      <c r="B18" s="9" t="inlineStr">
        <is>
          <t>Long-term debt</t>
        </is>
      </c>
      <c r="D18" s="15" t="inlineStr">
        <is>
          <t>—</t>
        </is>
      </c>
      <c r="E18" s="15" t="inlineStr">
        <is>
          <t>—</t>
        </is>
      </c>
      <c r="F18" s="15" t="inlineStr">
        <is>
          <t>—</t>
        </is>
      </c>
      <c r="G18" s="15" t="inlineStr">
        <is>
          <t>—</t>
        </is>
      </c>
      <c r="H18" s="10" t="n">
        <v>10946000000</v>
      </c>
      <c r="J18" s="11" t="inlineStr">
        <is>
          <t>[15]</t>
        </is>
      </c>
    </row>
    <row r="19">
      <c r="B19" s="20" t="inlineStr">
        <is>
          <t>Total liabilities</t>
        </is>
      </c>
      <c r="D19" s="15" t="inlineStr">
        <is>
          <t>—</t>
        </is>
      </c>
      <c r="E19" s="15" t="inlineStr">
        <is>
          <t>—</t>
        </is>
      </c>
      <c r="F19" s="15" t="inlineStr">
        <is>
          <t>—</t>
        </is>
      </c>
      <c r="G19" s="15" t="inlineStr">
        <is>
          <t>—</t>
        </is>
      </c>
      <c r="H19" s="22" t="n">
        <v>17575000000</v>
      </c>
      <c r="J19" s="11" t="inlineStr">
        <is>
          <t>[37]</t>
        </is>
      </c>
    </row>
    <row r="20">
      <c r="B20" s="20" t="inlineStr">
        <is>
          <t>Total shareholders' equity</t>
        </is>
      </c>
      <c r="D20" s="15" t="inlineStr">
        <is>
          <t>—</t>
        </is>
      </c>
      <c r="E20" s="15" t="inlineStr">
        <is>
          <t>—</t>
        </is>
      </c>
      <c r="F20" s="15" t="inlineStr">
        <is>
          <t>—</t>
        </is>
      </c>
      <c r="G20" s="15" t="inlineStr">
        <is>
          <t>—</t>
        </is>
      </c>
      <c r="H20" s="22" t="n">
        <v>26612000000</v>
      </c>
      <c r="J20" s="11" t="inlineStr">
        <is>
          <t>[17]</t>
        </is>
      </c>
    </row>
    <row r="22">
      <c r="B22" s="20" t="inlineStr">
        <is>
          <t>Total liabilities and equity</t>
        </is>
      </c>
      <c r="D22" s="15" t="inlineStr">
        <is>
          <t>—</t>
        </is>
      </c>
      <c r="E22" s="15" t="inlineStr">
        <is>
          <t>—</t>
        </is>
      </c>
      <c r="F22" s="15" t="inlineStr">
        <is>
          <t>—</t>
        </is>
      </c>
      <c r="G22" s="15" t="inlineStr">
        <is>
          <t>—</t>
        </is>
      </c>
      <c r="H22" s="22" t="n">
        <v>44187000000</v>
      </c>
      <c r="J22" s="11" t="inlineStr">
        <is>
          <t>[38]</t>
        </is>
      </c>
    </row>
    <row r="23">
      <c r="B23" s="12" t="inlineStr">
        <is>
          <t>Balance check (assets less liabilities and equity)</t>
        </is>
      </c>
      <c r="D23" s="24">
        <f>IFERROR(ROUND(D14-D22,0),0)</f>
        <v/>
      </c>
      <c r="E23" s="24">
        <f>IFERROR(ROUND(E14-E22,0),0)</f>
        <v/>
      </c>
      <c r="F23" s="24">
        <f>IFERROR(ROUND(F14-F22,0),0)</f>
        <v/>
      </c>
      <c r="G23" s="24">
        <f>IFERROR(ROUND(G14-G22,0),0)</f>
        <v/>
      </c>
      <c r="H23" s="24">
        <f>IFERROR(ROUND(H14-H22,0),0)</f>
        <v/>
      </c>
    </row>
    <row r="24">
      <c r="B24" s="23" t="inlineStr">
        <is>
          <t>A non-zero balance check is highlighted red. It means the filer's tagged totals do not tie, and the workbook should not be used until the discrepancy is understood.</t>
        </is>
      </c>
    </row>
  </sheetData>
  <conditionalFormatting sqref="D23:H23">
    <cfRule type="cellIs" priority="1" operator="notEqual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Cash flow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FY2018</t>
        </is>
      </c>
      <c r="E6" s="5" t="inlineStr">
        <is>
          <t>FY2019</t>
        </is>
      </c>
      <c r="F6" s="5" t="inlineStr">
        <is>
          <t>FY2020</t>
        </is>
      </c>
      <c r="G6" s="5" t="inlineStr">
        <is>
          <t>FY2021</t>
        </is>
      </c>
      <c r="H6" s="5" t="inlineStr">
        <is>
          <t>FY2022</t>
        </is>
      </c>
      <c r="J6" s="6" t="inlineStr">
        <is>
          <t>Src</t>
        </is>
      </c>
    </row>
    <row r="7">
      <c r="B7" s="20" t="inlineStr">
        <is>
          <t>Cash from operations</t>
        </is>
      </c>
      <c r="D7" s="15" t="inlineStr">
        <is>
          <t>—</t>
        </is>
      </c>
      <c r="E7" s="15" t="inlineStr">
        <is>
          <t>—</t>
        </is>
      </c>
      <c r="F7" s="15" t="inlineStr">
        <is>
          <t>—</t>
        </is>
      </c>
      <c r="G7" s="15" t="inlineStr">
        <is>
          <t>—</t>
        </is>
      </c>
      <c r="H7" s="22" t="n">
        <v>9108000000</v>
      </c>
      <c r="J7" s="11" t="inlineStr">
        <is>
          <t>[11]</t>
        </is>
      </c>
    </row>
    <row r="8">
      <c r="B8" s="9" t="inlineStr">
        <is>
          <t>Capital expenditure</t>
        </is>
      </c>
      <c r="D8" s="15" t="inlineStr">
        <is>
          <t>—</t>
        </is>
      </c>
      <c r="E8" s="15" t="inlineStr">
        <is>
          <t>—</t>
        </is>
      </c>
      <c r="F8" s="15" t="inlineStr">
        <is>
          <t>—</t>
        </is>
      </c>
      <c r="G8" s="15" t="inlineStr">
        <is>
          <t>—</t>
        </is>
      </c>
      <c r="H8" s="15" t="inlineStr">
        <is>
          <t>—</t>
        </is>
      </c>
    </row>
    <row r="9">
      <c r="B9" s="9" t="inlineStr">
        <is>
          <t>Cash from investing</t>
        </is>
      </c>
      <c r="D9" s="15" t="inlineStr">
        <is>
          <t>—</t>
        </is>
      </c>
      <c r="E9" s="15" t="inlineStr">
        <is>
          <t>—</t>
        </is>
      </c>
      <c r="F9" s="15" t="inlineStr">
        <is>
          <t>—</t>
        </is>
      </c>
      <c r="G9" s="15" t="inlineStr">
        <is>
          <t>—</t>
        </is>
      </c>
      <c r="H9" s="10" t="n">
        <v>-9830000000</v>
      </c>
      <c r="J9" s="11" t="inlineStr">
        <is>
          <t>[39]</t>
        </is>
      </c>
    </row>
    <row r="10">
      <c r="B10" s="9" t="inlineStr">
        <is>
          <t>Cash from financing</t>
        </is>
      </c>
      <c r="D10" s="15" t="inlineStr">
        <is>
          <t>—</t>
        </is>
      </c>
      <c r="E10" s="15" t="inlineStr">
        <is>
          <t>—</t>
        </is>
      </c>
      <c r="F10" s="15" t="inlineStr">
        <is>
          <t>—</t>
        </is>
      </c>
      <c r="G10" s="15" t="inlineStr">
        <is>
          <t>—</t>
        </is>
      </c>
      <c r="H10" s="10" t="n">
        <v>1865000000</v>
      </c>
      <c r="J10" s="11" t="inlineStr">
        <is>
          <t>[40]</t>
        </is>
      </c>
    </row>
    <row r="11">
      <c r="B11" s="9" t="inlineStr">
        <is>
          <t>Share repurchases</t>
        </is>
      </c>
      <c r="D11" s="15" t="inlineStr">
        <is>
          <t>—</t>
        </is>
      </c>
      <c r="E11" s="15" t="inlineStr">
        <is>
          <t>—</t>
        </is>
      </c>
      <c r="F11" s="15" t="inlineStr">
        <is>
          <t>—</t>
        </is>
      </c>
      <c r="G11" s="15" t="inlineStr">
        <is>
          <t>—</t>
        </is>
      </c>
      <c r="H11" s="10" t="n">
        <v>0</v>
      </c>
      <c r="J11" s="11" t="inlineStr">
        <is>
          <t>[41]</t>
        </is>
      </c>
    </row>
    <row r="12">
      <c r="B12" s="9" t="inlineStr">
        <is>
          <t>Dividends paid</t>
        </is>
      </c>
      <c r="D12" s="15" t="inlineStr">
        <is>
          <t>—</t>
        </is>
      </c>
      <c r="E12" s="15" t="inlineStr">
        <is>
          <t>—</t>
        </is>
      </c>
      <c r="F12" s="15" t="inlineStr">
        <is>
          <t>—</t>
        </is>
      </c>
      <c r="G12" s="15" t="inlineStr">
        <is>
          <t>—</t>
        </is>
      </c>
      <c r="H12" s="10" t="n">
        <v>399000000</v>
      </c>
      <c r="J12" s="11" t="inlineStr">
        <is>
          <t>[42]</t>
        </is>
      </c>
    </row>
    <row r="14">
      <c r="B14" s="20" t="inlineStr">
        <is>
          <t>Free cash flow</t>
        </is>
      </c>
      <c r="D14" s="21">
        <f>IFERROR(D7-D8,"")</f>
        <v/>
      </c>
      <c r="E14" s="21">
        <f>IFERROR(E7-E8,"")</f>
        <v/>
      </c>
      <c r="F14" s="21">
        <f>IFERROR(F7-F8,"")</f>
        <v/>
      </c>
      <c r="G14" s="21">
        <f>IFERROR(G7-G8,"")</f>
        <v/>
      </c>
      <c r="H14" s="21">
        <f>IFERROR(H7-H8,"")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D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NVIDIA CORP (NVDA)</t>
        </is>
      </c>
    </row>
    <row r="3">
      <c r="B3" s="2" t="inlineStr">
        <is>
          <t>Filings used</t>
        </is>
      </c>
    </row>
    <row r="4">
      <c r="B4" s="3" t="inlineStr">
        <is>
          <t>The primary documents behind every figure in this workbook</t>
        </is>
      </c>
    </row>
    <row r="7">
      <c r="B7" s="7" t="inlineStr">
        <is>
          <t>Recent annual and quarterly filings</t>
        </is>
      </c>
    </row>
    <row r="8">
      <c r="B8" s="9" t="inlineStr">
        <is>
          <t>10-Q · period 2026-04-26 · filed 2026-05-20</t>
        </is>
      </c>
      <c r="D8" s="25" t="inlineStr">
        <is>
          <t>0001045810-26-000052</t>
        </is>
      </c>
    </row>
    <row r="9">
      <c r="B9" s="9" t="inlineStr">
        <is>
          <t>10-K · period 2026-01-25 · filed 2026-02-25</t>
        </is>
      </c>
      <c r="D9" s="25" t="inlineStr">
        <is>
          <t>0001045810-26-000021</t>
        </is>
      </c>
    </row>
    <row r="10">
      <c r="B10" s="9" t="inlineStr">
        <is>
          <t>10-Q · period 2025-10-26 · filed 2025-11-19</t>
        </is>
      </c>
      <c r="D10" s="25" t="inlineStr">
        <is>
          <t>0001045810-25-000230</t>
        </is>
      </c>
    </row>
    <row r="11">
      <c r="B11" s="9" t="inlineStr">
        <is>
          <t>10-Q · period 2025-07-27 · filed 2025-08-27</t>
        </is>
      </c>
      <c r="D11" s="25" t="inlineStr">
        <is>
          <t>0001045810-25-000209</t>
        </is>
      </c>
    </row>
    <row r="12">
      <c r="B12" s="9" t="inlineStr">
        <is>
          <t>10-Q · period 2025-04-27 · filed 2025-05-28</t>
        </is>
      </c>
      <c r="D12" s="25" t="inlineStr">
        <is>
          <t>0001045810-25-000116</t>
        </is>
      </c>
    </row>
    <row r="13">
      <c r="B13" s="9" t="inlineStr">
        <is>
          <t>10-K · period 2025-01-26 · filed 2025-02-26</t>
        </is>
      </c>
      <c r="D13" s="25" t="inlineStr">
        <is>
          <t>0001045810-25-000023</t>
        </is>
      </c>
    </row>
    <row r="14">
      <c r="B14" s="9" t="inlineStr">
        <is>
          <t>10-Q · period 2024-10-27 · filed 2024-11-20</t>
        </is>
      </c>
      <c r="D14" s="25" t="inlineStr">
        <is>
          <t>0001045810-24-000316</t>
        </is>
      </c>
    </row>
    <row r="15">
      <c r="B15" s="9" t="inlineStr">
        <is>
          <t>10-Q · period 2024-07-28 · filed 2024-08-28</t>
        </is>
      </c>
      <c r="D15" s="25" t="inlineStr">
        <is>
          <t>0001045810-24-000264</t>
        </is>
      </c>
    </row>
    <row r="16">
      <c r="B16" s="9" t="inlineStr">
        <is>
          <t>10-Q · period 2024-04-28 · filed 2024-05-29</t>
        </is>
      </c>
      <c r="D16" s="25" t="inlineStr">
        <is>
          <t>0001045810-24-000124</t>
        </is>
      </c>
    </row>
    <row r="17">
      <c r="B17" s="9" t="inlineStr">
        <is>
          <t>10-K · period 2024-01-28 · filed 2024-02-21</t>
        </is>
      </c>
      <c r="D17" s="25" t="inlineStr">
        <is>
          <t>0001045810-24-000029</t>
        </is>
      </c>
    </row>
    <row r="18">
      <c r="B18" s="9" t="inlineStr">
        <is>
          <t>10-Q · period 2023-10-29 · filed 2023-11-21</t>
        </is>
      </c>
      <c r="D18" s="25" t="inlineStr">
        <is>
          <t>0001045810-23-000227</t>
        </is>
      </c>
    </row>
    <row r="19">
      <c r="B19" s="9" t="inlineStr">
        <is>
          <t>10-Q · period 2023-07-30 · filed 2023-08-28</t>
        </is>
      </c>
      <c r="D19" s="25" t="inlineStr">
        <is>
          <t>0001045810-23-000175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NVIDIA CORP (NVDA)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6" t="inlineStr">
        <is>
          <t>Some lines are blank because the filer did not tag them — see the Profile tab note.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7" t="n">
        <v>1</v>
      </c>
      <c r="C8" s="9" t="inlineStr">
        <is>
          <t>NVDA FY2018 10-K</t>
        </is>
      </c>
      <c r="D8" s="27" t="inlineStr">
        <is>
          <t>us-gaap:RevenueFromContractWithCustomerExcludingAssessedTax · period ending 2018-01-28 · USD · filed 2019-02-21</t>
        </is>
      </c>
      <c r="E8" s="27" t="inlineStr">
        <is>
          <t>0001045810-19-000023</t>
        </is>
      </c>
      <c r="F8" s="28" t="inlineStr">
        <is>
          <t>https://www.sec.gov/Archives/edgar/data/1045810/000104581019000023/0001045810-19-000023-index.htm</t>
        </is>
      </c>
    </row>
    <row r="9">
      <c r="B9" s="27" t="n">
        <v>2</v>
      </c>
      <c r="C9" s="9" t="inlineStr">
        <is>
          <t>NVDA FY2019 10-K</t>
        </is>
      </c>
      <c r="D9" s="27" t="inlineStr">
        <is>
          <t>us-gaap:RevenueFromContractWithCustomerExcludingAssessedTax · period ending 2019-01-27 · USD · filed 2019-02-21</t>
        </is>
      </c>
      <c r="E9" s="27" t="inlineStr">
        <is>
          <t>0001045810-19-000023</t>
        </is>
      </c>
      <c r="F9" s="28" t="inlineStr">
        <is>
          <t>https://www.sec.gov/Archives/edgar/data/1045810/000104581019000023/0001045810-19-000023-index.htm</t>
        </is>
      </c>
    </row>
    <row r="10">
      <c r="B10" s="27" t="n">
        <v>3</v>
      </c>
      <c r="C10" s="9" t="inlineStr">
        <is>
          <t>NVDA FY2020 10-K</t>
        </is>
      </c>
      <c r="D10" s="27" t="inlineStr">
        <is>
          <t>us-gaap:RevenueFromContractWithCustomerExcludingAssessedTax · period ending 2020-01-26 · USD · filed 2020-02-20</t>
        </is>
      </c>
      <c r="E10" s="27" t="inlineStr">
        <is>
          <t>0001045810-20-000010</t>
        </is>
      </c>
      <c r="F10" s="28" t="inlineStr">
        <is>
          <t>https://www.sec.gov/Archives/edgar/data/1045810/000104581020000010/0001045810-20-000010-index.htm</t>
        </is>
      </c>
    </row>
    <row r="11">
      <c r="B11" s="27" t="n">
        <v>4</v>
      </c>
      <c r="C11" s="9" t="inlineStr">
        <is>
          <t>NVDA FY2021 10-K</t>
        </is>
      </c>
      <c r="D11" s="27" t="inlineStr">
        <is>
          <t>us-gaap:RevenueFromContractWithCustomerExcludingAssessedTax · period ending 2021-01-31 · USD · filed 2021-02-26</t>
        </is>
      </c>
      <c r="E11" s="27" t="inlineStr">
        <is>
          <t>0001045810-21-000010</t>
        </is>
      </c>
      <c r="F11" s="28" t="inlineStr">
        <is>
          <t>https://www.sec.gov/Archives/edgar/data/1045810/000104581021000010/0001045810-21-000010-index.htm</t>
        </is>
      </c>
    </row>
    <row r="12">
      <c r="B12" s="27" t="n">
        <v>5</v>
      </c>
      <c r="C12" s="9" t="inlineStr">
        <is>
          <t>NVDA FY2022 10-K</t>
        </is>
      </c>
      <c r="D12" s="27" t="inlineStr">
        <is>
          <t>us-gaap:RevenueFromContractWithCustomerExcludingAssessedTax · period ending 2022-01-30 · USD · filed 2022-03-18</t>
        </is>
      </c>
      <c r="E12" s="27" t="inlineStr">
        <is>
          <t>0001045810-22-000036</t>
        </is>
      </c>
      <c r="F12" s="28" t="inlineStr">
        <is>
          <t>https://www.sec.gov/Archives/edgar/data/1045810/000104581022000036/0001045810-22-000036-index.htm</t>
        </is>
      </c>
    </row>
    <row r="13">
      <c r="B13" s="27" t="n">
        <v>6</v>
      </c>
      <c r="C13" s="9" t="inlineStr">
        <is>
          <t>NVDA FY2022 10-K</t>
        </is>
      </c>
      <c r="D13" s="27" t="inlineStr">
        <is>
          <t>us-gaap:GrossProfit · period ending 2022-01-30 · USD · filed 2022-03-18</t>
        </is>
      </c>
      <c r="E13" s="27" t="inlineStr">
        <is>
          <t>0001045810-22-000036</t>
        </is>
      </c>
      <c r="F13" s="28" t="inlineStr">
        <is>
          <t>https://www.sec.gov/Archives/edgar/data/1045810/000104581022000036/0001045810-22-000036-index.htm</t>
        </is>
      </c>
    </row>
    <row r="14">
      <c r="B14" s="27" t="n">
        <v>7</v>
      </c>
      <c r="C14" s="9" t="inlineStr">
        <is>
          <t>NVDA FY2022 10-K</t>
        </is>
      </c>
      <c r="D14" s="27" t="inlineStr">
        <is>
          <t>us-gaap:OperatingIncomeLoss · period ending 2022-01-30 · USD · filed 2022-03-18</t>
        </is>
      </c>
      <c r="E14" s="27" t="inlineStr">
        <is>
          <t>0001045810-22-000036</t>
        </is>
      </c>
      <c r="F14" s="28" t="inlineStr">
        <is>
          <t>https://www.sec.gov/Archives/edgar/data/1045810/000104581022000036/0001045810-22-000036-index.htm</t>
        </is>
      </c>
    </row>
    <row r="15">
      <c r="B15" s="27" t="n">
        <v>8</v>
      </c>
      <c r="C15" s="9" t="inlineStr">
        <is>
          <t>NVDA FY2022 10-K</t>
        </is>
      </c>
      <c r="D15" s="27" t="inlineStr">
        <is>
          <t>us-gaap:NetIncomeLoss · period ending 2022-01-30 · USD · filed 2022-03-18</t>
        </is>
      </c>
      <c r="E15" s="27" t="inlineStr">
        <is>
          <t>0001045810-22-000036</t>
        </is>
      </c>
      <c r="F15" s="28" t="inlineStr">
        <is>
          <t>https://www.sec.gov/Archives/edgar/data/1045810/000104581022000036/0001045810-22-000036-index.htm</t>
        </is>
      </c>
    </row>
    <row r="16">
      <c r="B16" s="27" t="n">
        <v>9</v>
      </c>
      <c r="C16" s="9" t="inlineStr">
        <is>
          <t>NVDA FY2022 10-K</t>
        </is>
      </c>
      <c r="D16" s="27" t="inlineStr">
        <is>
          <t>us-gaap:EarningsPerShareDiluted · period ending 2022-01-30 · USD/shares · filed 2022-03-18</t>
        </is>
      </c>
      <c r="E16" s="27" t="inlineStr">
        <is>
          <t>0001045810-22-000036</t>
        </is>
      </c>
      <c r="F16" s="28" t="inlineStr">
        <is>
          <t>https://www.sec.gov/Archives/edgar/data/1045810/000104581022000036/0001045810-22-000036-index.htm</t>
        </is>
      </c>
    </row>
    <row r="17">
      <c r="B17" s="27" t="n">
        <v>10</v>
      </c>
      <c r="C17" s="9" t="inlineStr">
        <is>
          <t>NVDA FY2022 10-K</t>
        </is>
      </c>
      <c r="D17" s="27" t="inlineStr">
        <is>
          <t>us-gaap:WeightedAverageNumberOfDilutedSharesOutstanding · period ending 2022-01-30 · shares · filed 2022-03-18</t>
        </is>
      </c>
      <c r="E17" s="27" t="inlineStr">
        <is>
          <t>0001045810-22-000036</t>
        </is>
      </c>
      <c r="F17" s="28" t="inlineStr">
        <is>
          <t>https://www.sec.gov/Archives/edgar/data/1045810/000104581022000036/0001045810-22-000036-index.htm</t>
        </is>
      </c>
    </row>
    <row r="18">
      <c r="B18" s="27" t="n">
        <v>11</v>
      </c>
      <c r="C18" s="9" t="inlineStr">
        <is>
          <t>NVDA FY2022 10-K</t>
        </is>
      </c>
      <c r="D18" s="27" t="inlineStr">
        <is>
          <t>us-gaap:NetCashProvidedByUsedInOperatingActivities · period ending 2022-01-30 · USD · filed 2022-03-18</t>
        </is>
      </c>
      <c r="E18" s="27" t="inlineStr">
        <is>
          <t>0001045810-22-000036</t>
        </is>
      </c>
      <c r="F18" s="28" t="inlineStr">
        <is>
          <t>https://www.sec.gov/Archives/edgar/data/1045810/000104581022000036/0001045810-22-000036-index.htm</t>
        </is>
      </c>
    </row>
    <row r="19">
      <c r="B19" s="27" t="n">
        <v>12</v>
      </c>
      <c r="C19" s="9" t="inlineStr">
        <is>
          <t>NVDA FY2022 10-K</t>
        </is>
      </c>
      <c r="D19" s="27" t="inlineStr">
        <is>
          <t>us-gaap:CashAndCashEquivalentsAtCarryingValue · period ending 2022-01-30 · USD · filed 2022-03-18</t>
        </is>
      </c>
      <c r="E19" s="27" t="inlineStr">
        <is>
          <t>0001045810-22-000036</t>
        </is>
      </c>
      <c r="F19" s="28" t="inlineStr">
        <is>
          <t>https://www.sec.gov/Archives/edgar/data/1045810/000104581022000036/0001045810-22-000036-index.htm</t>
        </is>
      </c>
    </row>
    <row r="20">
      <c r="B20" s="27" t="n">
        <v>13</v>
      </c>
      <c r="C20" s="9" t="inlineStr">
        <is>
          <t>NVDA FY2021 10-K</t>
        </is>
      </c>
      <c r="D20" s="27" t="inlineStr">
        <is>
          <t>us-gaap:MarketableSecuritiesCurrent · period ending 2021-01-31 · USD · filed 2021-02-26</t>
        </is>
      </c>
      <c r="E20" s="27" t="inlineStr">
        <is>
          <t>0001045810-21-000010</t>
        </is>
      </c>
      <c r="F20" s="28" t="inlineStr">
        <is>
          <t>https://www.sec.gov/Archives/edgar/data/1045810/000104581021000010/0001045810-21-000010-index.htm</t>
        </is>
      </c>
    </row>
    <row r="21">
      <c r="B21" s="27" t="n">
        <v>14</v>
      </c>
      <c r="C21" s="9" t="inlineStr">
        <is>
          <t>NVDA FY2022 10-K</t>
        </is>
      </c>
      <c r="D21" s="27" t="inlineStr">
        <is>
          <t>us-gaap:MarketableSecuritiesCurrent · period ending 2022-01-30 · USD · filed 2022-03-18</t>
        </is>
      </c>
      <c r="E21" s="27" t="inlineStr">
        <is>
          <t>0001045810-22-000036</t>
        </is>
      </c>
      <c r="F21" s="28" t="inlineStr">
        <is>
          <t>https://www.sec.gov/Archives/edgar/data/1045810/000104581022000036/0001045810-22-000036-index.htm</t>
        </is>
      </c>
    </row>
    <row r="22">
      <c r="B22" s="27" t="n">
        <v>15</v>
      </c>
      <c r="C22" s="9" t="inlineStr">
        <is>
          <t>NVDA FY2022 10-K</t>
        </is>
      </c>
      <c r="D22" s="27" t="inlineStr">
        <is>
          <t>us-gaap:LongTermDebtNoncurrent · period ending 2022-01-30 · USD · filed 2022-03-18</t>
        </is>
      </c>
      <c r="E22" s="27" t="inlineStr">
        <is>
          <t>0001045810-22-000036</t>
        </is>
      </c>
      <c r="F22" s="28" t="inlineStr">
        <is>
          <t>https://www.sec.gov/Archives/edgar/data/1045810/000104581022000036/0001045810-22-000036-index.htm</t>
        </is>
      </c>
    </row>
    <row r="23">
      <c r="B23" s="27" t="n">
        <v>16</v>
      </c>
      <c r="C23" s="9" t="inlineStr">
        <is>
          <t>NVDA FY2022 10-K</t>
        </is>
      </c>
      <c r="D23" s="27" t="inlineStr">
        <is>
          <t>us-gaap:LongTermDebtCurrent · period ending 2022-01-30 · USD · filed 2022-03-18</t>
        </is>
      </c>
      <c r="E23" s="27" t="inlineStr">
        <is>
          <t>0001045810-22-000036</t>
        </is>
      </c>
      <c r="F23" s="28" t="inlineStr">
        <is>
          <t>https://www.sec.gov/Archives/edgar/data/1045810/000104581022000036/0001045810-22-000036-index.htm</t>
        </is>
      </c>
    </row>
    <row r="24">
      <c r="B24" s="27" t="n">
        <v>17</v>
      </c>
      <c r="C24" s="9" t="inlineStr">
        <is>
          <t>NVDA FY2022 10-K</t>
        </is>
      </c>
      <c r="D24" s="27" t="inlineStr">
        <is>
          <t>us-gaap:StockholdersEquity · period ending 2022-01-30 · USD · filed 2022-03-18</t>
        </is>
      </c>
      <c r="E24" s="27" t="inlineStr">
        <is>
          <t>0001045810-22-000036</t>
        </is>
      </c>
      <c r="F24" s="28" t="inlineStr">
        <is>
          <t>https://www.sec.gov/Archives/edgar/data/1045810/000104581022000036/0001045810-22-000036-index.htm</t>
        </is>
      </c>
    </row>
    <row r="25">
      <c r="B25" s="27" t="n">
        <v>18</v>
      </c>
      <c r="C25" s="9" t="inlineStr">
        <is>
          <t>NVDA FY2018 10-K</t>
        </is>
      </c>
      <c r="D25" s="27" t="inlineStr">
        <is>
          <t>us-gaap:CostOfGoodsAndServicesSold · period ending 2018-01-28 · USD · filed 2019-02-21</t>
        </is>
      </c>
      <c r="E25" s="27" t="inlineStr">
        <is>
          <t>0001045810-19-000023</t>
        </is>
      </c>
      <c r="F25" s="28" t="inlineStr">
        <is>
          <t>https://www.sec.gov/Archives/edgar/data/1045810/000104581019000023/0001045810-19-000023-index.htm</t>
        </is>
      </c>
    </row>
    <row r="26">
      <c r="B26" s="27" t="n">
        <v>19</v>
      </c>
      <c r="C26" s="9" t="inlineStr">
        <is>
          <t>NVDA FY2019 10-K</t>
        </is>
      </c>
      <c r="D26" s="27" t="inlineStr">
        <is>
          <t>us-gaap:CostOfGoodsAndServicesSold · period ending 2019-01-27 · USD · filed 2019-02-21</t>
        </is>
      </c>
      <c r="E26" s="27" t="inlineStr">
        <is>
          <t>0001045810-19-000023</t>
        </is>
      </c>
      <c r="F26" s="28" t="inlineStr">
        <is>
          <t>https://www.sec.gov/Archives/edgar/data/1045810/000104581019000023/0001045810-19-000023-index.htm</t>
        </is>
      </c>
    </row>
    <row r="27">
      <c r="B27" s="27" t="n">
        <v>20</v>
      </c>
      <c r="C27" s="9" t="inlineStr">
        <is>
          <t>NVDA FY2020 10-K</t>
        </is>
      </c>
      <c r="D27" s="27" t="inlineStr">
        <is>
          <t>us-gaap:CostOfGoodsAndServicesSold · period ending 2020-01-26 · USD · filed 2020-02-20</t>
        </is>
      </c>
      <c r="E27" s="27" t="inlineStr">
        <is>
          <t>0001045810-20-000010</t>
        </is>
      </c>
      <c r="F27" s="28" t="inlineStr">
        <is>
          <t>https://www.sec.gov/Archives/edgar/data/1045810/000104581020000010/0001045810-20-000010-index.htm</t>
        </is>
      </c>
    </row>
    <row r="28">
      <c r="B28" s="27" t="n">
        <v>21</v>
      </c>
      <c r="C28" s="9" t="inlineStr">
        <is>
          <t>NVDA FY2021 10-K</t>
        </is>
      </c>
      <c r="D28" s="27" t="inlineStr">
        <is>
          <t>us-gaap:CostOfGoodsAndServicesSold · period ending 2021-01-31 · USD · filed 2021-02-26</t>
        </is>
      </c>
      <c r="E28" s="27" t="inlineStr">
        <is>
          <t>0001045810-21-000010</t>
        </is>
      </c>
      <c r="F28" s="28" t="inlineStr">
        <is>
          <t>https://www.sec.gov/Archives/edgar/data/1045810/000104581021000010/0001045810-21-000010-index.htm</t>
        </is>
      </c>
    </row>
    <row r="29">
      <c r="B29" s="27" t="n">
        <v>22</v>
      </c>
      <c r="C29" s="9" t="inlineStr">
        <is>
          <t>NVDA FY2022 10-K</t>
        </is>
      </c>
      <c r="D29" s="27" t="inlineStr">
        <is>
          <t>us-gaap:ResearchAndDevelopmentExpense · period ending 2022-01-30 · USD · filed 2022-03-18</t>
        </is>
      </c>
      <c r="E29" s="27" t="inlineStr">
        <is>
          <t>0001045810-22-000036</t>
        </is>
      </c>
      <c r="F29" s="28" t="inlineStr">
        <is>
          <t>https://www.sec.gov/Archives/edgar/data/1045810/000104581022000036/0001045810-22-000036-index.htm</t>
        </is>
      </c>
    </row>
    <row r="30">
      <c r="B30" s="27" t="n">
        <v>23</v>
      </c>
      <c r="C30" s="9" t="inlineStr">
        <is>
          <t>NVDA FY2022 10-K</t>
        </is>
      </c>
      <c r="D30" s="27" t="inlineStr">
        <is>
          <t>us-gaap:SellingGeneralAndAdministrativeExpense · period ending 2022-01-30 · USD · filed 2022-03-18</t>
        </is>
      </c>
      <c r="E30" s="27" t="inlineStr">
        <is>
          <t>0001045810-22-000036</t>
        </is>
      </c>
      <c r="F30" s="28" t="inlineStr">
        <is>
          <t>https://www.sec.gov/Archives/edgar/data/1045810/000104581022000036/0001045810-22-000036-index.htm</t>
        </is>
      </c>
    </row>
    <row r="31">
      <c r="B31" s="27" t="n">
        <v>24</v>
      </c>
      <c r="C31" s="9" t="inlineStr">
        <is>
          <t>NVDA FY2020 10-K</t>
        </is>
      </c>
      <c r="D31" s="27" t="inlineStr">
        <is>
          <t>us-gaap:InterestExpense · period ending 2020-01-26 · USD · filed 2020-02-20</t>
        </is>
      </c>
      <c r="E31" s="27" t="inlineStr">
        <is>
          <t>0001045810-20-000010</t>
        </is>
      </c>
      <c r="F31" s="28" t="inlineStr">
        <is>
          <t>https://www.sec.gov/Archives/edgar/data/1045810/000104581020000010/0001045810-20-000010-index.htm</t>
        </is>
      </c>
    </row>
    <row r="32">
      <c r="B32" s="27" t="n">
        <v>25</v>
      </c>
      <c r="C32" s="9" t="inlineStr">
        <is>
          <t>NVDA FY2021 10-K</t>
        </is>
      </c>
      <c r="D32" s="27" t="inlineStr">
        <is>
          <t>us-gaap:InterestExpense · period ending 2021-01-31 · USD · filed 2021-02-26</t>
        </is>
      </c>
      <c r="E32" s="27" t="inlineStr">
        <is>
          <t>0001045810-21-000010</t>
        </is>
      </c>
      <c r="F32" s="28" t="inlineStr">
        <is>
          <t>https://www.sec.gov/Archives/edgar/data/1045810/000104581021000010/0001045810-21-000010-index.htm</t>
        </is>
      </c>
    </row>
    <row r="33">
      <c r="B33" s="27" t="n">
        <v>26</v>
      </c>
      <c r="C33" s="9" t="inlineStr">
        <is>
          <t>NVDA FY2022 10-K</t>
        </is>
      </c>
      <c r="D33" s="27" t="inlineStr">
        <is>
          <t>us-gaap:InterestExpense · period ending 2022-01-30 · USD · filed 2022-03-18</t>
        </is>
      </c>
      <c r="E33" s="27" t="inlineStr">
        <is>
          <t>0001045810-22-000036</t>
        </is>
      </c>
      <c r="F33" s="28" t="inlineStr">
        <is>
          <t>https://www.sec.gov/Archives/edgar/data/1045810/000104581022000036/0001045810-22-000036-index.htm</t>
        </is>
      </c>
    </row>
    <row r="34">
      <c r="B34" s="27" t="n">
        <v>27</v>
      </c>
      <c r="C34" s="9" t="inlineStr">
        <is>
          <t>NVDA FY2022 10-K</t>
        </is>
      </c>
      <c r="D34" s="27" t="inlineStr">
        <is>
          <t>us-gaap:IncomeLossFromContinuingOperationsBeforeIncomeTaxesExtraordinaryItemsNoncontrollingInterest · period ending 2022-01-30 · USD · filed 2022-03-18</t>
        </is>
      </c>
      <c r="E34" s="27" t="inlineStr">
        <is>
          <t>0001045810-22-000036</t>
        </is>
      </c>
      <c r="F34" s="28" t="inlineStr">
        <is>
          <t>https://www.sec.gov/Archives/edgar/data/1045810/000104581022000036/0001045810-22-000036-index.htm</t>
        </is>
      </c>
    </row>
    <row r="35">
      <c r="B35" s="27" t="n">
        <v>28</v>
      </c>
      <c r="C35" s="9" t="inlineStr">
        <is>
          <t>NVDA FY2022 10-K</t>
        </is>
      </c>
      <c r="D35" s="27" t="inlineStr">
        <is>
          <t>us-gaap:IncomeTaxExpenseBenefit · period ending 2022-01-30 · USD · filed 2022-03-18</t>
        </is>
      </c>
      <c r="E35" s="27" t="inlineStr">
        <is>
          <t>0001045810-22-000036</t>
        </is>
      </c>
      <c r="F35" s="28" t="inlineStr">
        <is>
          <t>https://www.sec.gov/Archives/edgar/data/1045810/000104581022000036/0001045810-22-000036-index.htm</t>
        </is>
      </c>
    </row>
    <row r="36">
      <c r="B36" s="27" t="n">
        <v>29</v>
      </c>
      <c r="C36" s="9" t="inlineStr">
        <is>
          <t>NVDA FY2022 10-K</t>
        </is>
      </c>
      <c r="D36" s="27" t="inlineStr">
        <is>
          <t>us-gaap:AccountsReceivableNetCurrent · period ending 2022-01-30 · USD · filed 2022-03-18</t>
        </is>
      </c>
      <c r="E36" s="27" t="inlineStr">
        <is>
          <t>0001045810-22-000036</t>
        </is>
      </c>
      <c r="F36" s="28" t="inlineStr">
        <is>
          <t>https://www.sec.gov/Archives/edgar/data/1045810/000104581022000036/0001045810-22-000036-index.htm</t>
        </is>
      </c>
    </row>
    <row r="37">
      <c r="B37" s="27" t="n">
        <v>30</v>
      </c>
      <c r="C37" s="9" t="inlineStr">
        <is>
          <t>NVDA FY2022 10-K</t>
        </is>
      </c>
      <c r="D37" s="27" t="inlineStr">
        <is>
          <t>us-gaap:InventoryNet · period ending 2022-01-30 · USD · filed 2022-03-18</t>
        </is>
      </c>
      <c r="E37" s="27" t="inlineStr">
        <is>
          <t>0001045810-22-000036</t>
        </is>
      </c>
      <c r="F37" s="28" t="inlineStr">
        <is>
          <t>https://www.sec.gov/Archives/edgar/data/1045810/000104581022000036/0001045810-22-000036-index.htm</t>
        </is>
      </c>
    </row>
    <row r="38">
      <c r="B38" s="27" t="n">
        <v>31</v>
      </c>
      <c r="C38" s="9" t="inlineStr">
        <is>
          <t>NVDA FY2022 10-K</t>
        </is>
      </c>
      <c r="D38" s="27" t="inlineStr">
        <is>
          <t>us-gaap:AssetsCurrent · period ending 2022-01-30 · USD · filed 2022-03-18</t>
        </is>
      </c>
      <c r="E38" s="27" t="inlineStr">
        <is>
          <t>0001045810-22-000036</t>
        </is>
      </c>
      <c r="F38" s="28" t="inlineStr">
        <is>
          <t>https://www.sec.gov/Archives/edgar/data/1045810/000104581022000036/0001045810-22-000036-index.htm</t>
        </is>
      </c>
    </row>
    <row r="39">
      <c r="B39" s="27" t="n">
        <v>32</v>
      </c>
      <c r="C39" s="9" t="inlineStr">
        <is>
          <t>NVDA FY2022 10-K</t>
        </is>
      </c>
      <c r="D39" s="27" t="inlineStr">
        <is>
          <t>us-gaap:PropertyPlantAndEquipmentNet · period ending 2022-01-30 · USD · filed 2022-03-18</t>
        </is>
      </c>
      <c r="E39" s="27" t="inlineStr">
        <is>
          <t>0001045810-22-000036</t>
        </is>
      </c>
      <c r="F39" s="28" t="inlineStr">
        <is>
          <t>https://www.sec.gov/Archives/edgar/data/1045810/000104581022000036/0001045810-22-000036-index.htm</t>
        </is>
      </c>
    </row>
    <row r="40">
      <c r="B40" s="27" t="n">
        <v>33</v>
      </c>
      <c r="C40" s="9" t="inlineStr">
        <is>
          <t>NVDA FY2022 10-K</t>
        </is>
      </c>
      <c r="D40" s="27" t="inlineStr">
        <is>
          <t>us-gaap:Goodwill · period ending 2022-01-30 · USD · filed 2022-03-18</t>
        </is>
      </c>
      <c r="E40" s="27" t="inlineStr">
        <is>
          <t>0001045810-22-000036</t>
        </is>
      </c>
      <c r="F40" s="28" t="inlineStr">
        <is>
          <t>https://www.sec.gov/Archives/edgar/data/1045810/000104581022000036/0001045810-22-000036-index.htm</t>
        </is>
      </c>
    </row>
    <row r="41">
      <c r="B41" s="27" t="n">
        <v>34</v>
      </c>
      <c r="C41" s="9" t="inlineStr">
        <is>
          <t>NVDA FY2022 10-K</t>
        </is>
      </c>
      <c r="D41" s="27" t="inlineStr">
        <is>
          <t>us-gaap:Assets · period ending 2022-01-30 · USD · filed 2022-03-18</t>
        </is>
      </c>
      <c r="E41" s="27" t="inlineStr">
        <is>
          <t>0001045810-22-000036</t>
        </is>
      </c>
      <c r="F41" s="28" t="inlineStr">
        <is>
          <t>https://www.sec.gov/Archives/edgar/data/1045810/000104581022000036/0001045810-22-000036-index.htm</t>
        </is>
      </c>
    </row>
    <row r="42">
      <c r="B42" s="27" t="n">
        <v>35</v>
      </c>
      <c r="C42" s="9" t="inlineStr">
        <is>
          <t>NVDA FY2022 10-K</t>
        </is>
      </c>
      <c r="D42" s="27" t="inlineStr">
        <is>
          <t>us-gaap:AccountsPayableCurrent · period ending 2022-01-30 · USD · filed 2022-03-18</t>
        </is>
      </c>
      <c r="E42" s="27" t="inlineStr">
        <is>
          <t>0001045810-22-000036</t>
        </is>
      </c>
      <c r="F42" s="28" t="inlineStr">
        <is>
          <t>https://www.sec.gov/Archives/edgar/data/1045810/000104581022000036/0001045810-22-000036-index.htm</t>
        </is>
      </c>
    </row>
    <row r="43">
      <c r="B43" s="27" t="n">
        <v>36</v>
      </c>
      <c r="C43" s="9" t="inlineStr">
        <is>
          <t>NVDA FY2022 10-K</t>
        </is>
      </c>
      <c r="D43" s="27" t="inlineStr">
        <is>
          <t>us-gaap:LiabilitiesCurrent · period ending 2022-01-30 · USD · filed 2022-03-18</t>
        </is>
      </c>
      <c r="E43" s="27" t="inlineStr">
        <is>
          <t>0001045810-22-000036</t>
        </is>
      </c>
      <c r="F43" s="28" t="inlineStr">
        <is>
          <t>https://www.sec.gov/Archives/edgar/data/1045810/000104581022000036/0001045810-22-000036-index.htm</t>
        </is>
      </c>
    </row>
    <row r="44">
      <c r="B44" s="27" t="n">
        <v>37</v>
      </c>
      <c r="C44" s="9" t="inlineStr">
        <is>
          <t>NVDA FY2022 10-K</t>
        </is>
      </c>
      <c r="D44" s="27" t="inlineStr">
        <is>
          <t>us-gaap:Liabilities · period ending 2022-01-30 · USD · filed 2022-03-18</t>
        </is>
      </c>
      <c r="E44" s="27" t="inlineStr">
        <is>
          <t>0001045810-22-000036</t>
        </is>
      </c>
      <c r="F44" s="28" t="inlineStr">
        <is>
          <t>https://www.sec.gov/Archives/edgar/data/1045810/000104581022000036/0001045810-22-000036-index.htm</t>
        </is>
      </c>
    </row>
    <row r="45">
      <c r="B45" s="27" t="n">
        <v>38</v>
      </c>
      <c r="C45" s="9" t="inlineStr">
        <is>
          <t>NVDA FY2022 10-K</t>
        </is>
      </c>
      <c r="D45" s="27" t="inlineStr">
        <is>
          <t>us-gaap:LiabilitiesAndStockholdersEquity · period ending 2022-01-30 · USD · filed 2022-03-18</t>
        </is>
      </c>
      <c r="E45" s="27" t="inlineStr">
        <is>
          <t>0001045810-22-000036</t>
        </is>
      </c>
      <c r="F45" s="28" t="inlineStr">
        <is>
          <t>https://www.sec.gov/Archives/edgar/data/1045810/000104581022000036/0001045810-22-000036-index.htm</t>
        </is>
      </c>
    </row>
    <row r="46">
      <c r="B46" s="27" t="n">
        <v>39</v>
      </c>
      <c r="C46" s="9" t="inlineStr">
        <is>
          <t>NVDA FY2022 10-K</t>
        </is>
      </c>
      <c r="D46" s="27" t="inlineStr">
        <is>
          <t>us-gaap:NetCashProvidedByUsedInInvestingActivities · period ending 2022-01-30 · USD · filed 2022-03-18</t>
        </is>
      </c>
      <c r="E46" s="27" t="inlineStr">
        <is>
          <t>0001045810-22-000036</t>
        </is>
      </c>
      <c r="F46" s="28" t="inlineStr">
        <is>
          <t>https://www.sec.gov/Archives/edgar/data/1045810/000104581022000036/0001045810-22-000036-index.htm</t>
        </is>
      </c>
    </row>
    <row r="47">
      <c r="B47" s="27" t="n">
        <v>40</v>
      </c>
      <c r="C47" s="9" t="inlineStr">
        <is>
          <t>NVDA FY2022 10-K</t>
        </is>
      </c>
      <c r="D47" s="27" t="inlineStr">
        <is>
          <t>us-gaap:NetCashProvidedByUsedInFinancingActivities · period ending 2022-01-30 · USD · filed 2022-03-18</t>
        </is>
      </c>
      <c r="E47" s="27" t="inlineStr">
        <is>
          <t>0001045810-22-000036</t>
        </is>
      </c>
      <c r="F47" s="28" t="inlineStr">
        <is>
          <t>https://www.sec.gov/Archives/edgar/data/1045810/000104581022000036/0001045810-22-000036-index.htm</t>
        </is>
      </c>
    </row>
    <row r="48">
      <c r="B48" s="27" t="n">
        <v>41</v>
      </c>
      <c r="C48" s="9" t="inlineStr">
        <is>
          <t>NVDA FY2022 10-K</t>
        </is>
      </c>
      <c r="D48" s="27" t="inlineStr">
        <is>
          <t>us-gaap:PaymentsForRepurchaseOfCommonStock · period ending 2022-01-30 · USD · filed 2023-02-24</t>
        </is>
      </c>
      <c r="E48" s="27" t="inlineStr">
        <is>
          <t>0001045810-23-000017</t>
        </is>
      </c>
      <c r="F48" s="28" t="inlineStr">
        <is>
          <t>https://www.sec.gov/Archives/edgar/data/1045810/000104581023000017/0001045810-23-000017-index.htm</t>
        </is>
      </c>
    </row>
    <row r="49">
      <c r="B49" s="27" t="n">
        <v>42</v>
      </c>
      <c r="C49" s="9" t="inlineStr">
        <is>
          <t>NVDA FY2022 10-K</t>
        </is>
      </c>
      <c r="D49" s="27" t="inlineStr">
        <is>
          <t>us-gaap:PaymentsOfDividends · period ending 2022-01-30 · USD · filed 2022-03-18</t>
        </is>
      </c>
      <c r="E49" s="27" t="inlineStr">
        <is>
          <t>0001045810-22-000036</t>
        </is>
      </c>
      <c r="F49" s="28" t="inlineStr">
        <is>
          <t>https://www.sec.gov/Archives/edgar/data/1045810/000104581022000036/0001045810-22-000036-index.htm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2026-08-24T11:03:54Z</dcterms:created>
  <dcterms:modified xsi:type="dcterms:W3CDTF">2026-08-24T11:03:54Z</dcterms:modified>
</cp:coreProperties>
</file>