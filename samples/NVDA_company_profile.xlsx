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Profile" sheetId="2" state="visible" r:id="rId2"/>
    <sheet name="Income Statement" sheetId="3" state="visible" r:id="rId3"/>
    <sheet name="Balance Sheet" sheetId="4" state="visible" r:id="rId4"/>
    <sheet name="Cash Flow" sheetId="5" state="visible" r:id="rId5"/>
    <sheet name="Filings" sheetId="6" state="visible" r:id="rId6"/>
    <sheet name="Sources" sheetId="7" state="visible" r:id="rId7"/>
  </sheets>
  <definedNames>
    <definedName name="_xlnm.Print_Area" localSheetId="0">'Cover'!$A$1:$H$37</definedName>
    <definedName name="_xlnm.Print_Area" localSheetId="1">'Profile'!$A$1:$J$39</definedName>
    <definedName name="_xlnm.Print_Area" localSheetId="2">'Income Statement'!$A$1:$J$23</definedName>
    <definedName name="_xlnm.Print_Area" localSheetId="3">'Balance Sheet'!$A$1:$J$27</definedName>
    <definedName name="_xlnm.Print_Area" localSheetId="4">'Cash Flow'!$A$1:$J$17</definedName>
    <definedName name="_xlnm.Print_Area" localSheetId="5">'Filings'!$A$1:$F$22</definedName>
  </definedNames>
  <calcPr calcId="124519" fullCalcOnLoad="1"/>
</workbook>
</file>

<file path=xl/styles.xml><?xml version="1.0" encoding="utf-8"?>
<styleSheet xmlns="http://schemas.openxmlformats.org/spreadsheetml/2006/main">
  <numFmts count="4">
    <numFmt numFmtId="164" formatCode="&quot;$&quot;#,##0,,_);\(&quot;$&quot;#,##0,,\)"/>
    <numFmt numFmtId="165" formatCode="0.0%_);\(0.0%\)"/>
    <numFmt numFmtId="166" formatCode="0.00_);\(0.00\)"/>
    <numFmt numFmtId="167" formatCode="#,##0,,_);\(#,##0,,\)"/>
  </numFmts>
  <fonts count="22">
    <font>
      <name val="Calibri"/>
      <family val="2"/>
      <color theme="1"/>
      <sz val="11"/>
      <scheme val="minor"/>
    </font>
    <font>
      <b val="1"/>
      <color rgb="FF264D82"/>
      <sz val="10"/>
    </font>
    <font>
      <sz val="10"/>
    </font>
    <font>
      <color rgb="FF0000FF"/>
      <sz val="10"/>
    </font>
    <font>
      <color rgb="FF808080"/>
      <sz val="8"/>
    </font>
    <font>
      <i val="1"/>
      <color rgb="FF808080"/>
      <sz val="10"/>
    </font>
    <font>
      <color rgb="FF808080"/>
      <sz val="10"/>
    </font>
    <font>
      <i val="1"/>
      <sz val="10"/>
    </font>
    <font>
      <b val="1"/>
      <sz val="10"/>
    </font>
    <font>
      <b val="1"/>
      <color rgb="FF0000FF"/>
      <sz val="10"/>
    </font>
    <font>
      <i val="1"/>
      <color rgb="FF808080"/>
      <sz val="8"/>
    </font>
    <font>
      <b val="1"/>
      <color rgb="FF264D82"/>
      <sz val="11"/>
    </font>
    <font>
      <b val="1"/>
      <color rgb="FF264D82"/>
      <sz val="12"/>
    </font>
    <font>
      <i val="1"/>
      <color rgb="FF808080"/>
      <sz val="9"/>
    </font>
    <font>
      <b val="1"/>
      <color rgb="FF264D82"/>
      <sz val="9"/>
    </font>
    <font>
      <b val="1"/>
      <color rgb="FF808080"/>
      <sz val="8"/>
    </font>
    <font>
      <i val="1"/>
      <color rgb="FFC00000"/>
      <sz val="9"/>
    </font>
    <font>
      <color rgb="FF808080"/>
      <sz val="9"/>
    </font>
    <font>
      <color rgb="FF0563C1"/>
      <sz val="9"/>
      <u val="single"/>
    </font>
    <font>
      <b val="1"/>
      <color rgb="FF264D82"/>
      <sz val="18"/>
    </font>
    <font>
      <b val="1"/>
      <color rgb="FFC00000"/>
      <sz val="10"/>
    </font>
    <font>
      <color rgb="FF333333"/>
      <sz val="9"/>
    </font>
  </fonts>
  <fills count="3">
    <fill>
      <patternFill/>
    </fill>
    <fill>
      <patternFill patternType="gray125"/>
    </fill>
    <fill>
      <patternFill patternType="solid">
        <fgColor rgb="FF0F172A"/>
      </patternFill>
    </fill>
  </fills>
  <borders count="2">
    <border>
      <left/>
      <right/>
      <top/>
      <bottom/>
      <diagonal/>
    </border>
    <border>
      <bottom style="thin">
        <color rgb="FF264D82"/>
      </bottom>
    </border>
  </borders>
  <cellStyleXfs count="1">
    <xf numFmtId="0" fontId="0" fillId="0" borderId="0"/>
  </cellStyleXfs>
  <cellXfs count="32">
    <xf numFmtId="0" fontId="0" fillId="0" borderId="0" pivotButton="0" quotePrefix="0" xfId="0"/>
    <xf numFmtId="0" fontId="0" fillId="2" borderId="0" pivotButton="0" quotePrefix="0" xfId="0"/>
    <xf numFmtId="0" fontId="19" fillId="0" borderId="0" pivotButton="0" quotePrefix="0" xfId="0"/>
    <xf numFmtId="0" fontId="5" fillId="0" borderId="0" pivotButton="0" quotePrefix="0" xfId="0"/>
    <xf numFmtId="0" fontId="1" fillId="0" borderId="1" pivotButton="0" quotePrefix="0" xfId="0"/>
    <xf numFmtId="0" fontId="0" fillId="0" borderId="1" pivotButton="0" quotePrefix="0" xfId="0"/>
    <xf numFmtId="0" fontId="17" fillId="0" borderId="0" applyAlignment="1" pivotButton="0" quotePrefix="0" xfId="0">
      <alignment vertical="top" wrapText="1"/>
    </xf>
    <xf numFmtId="0" fontId="20" fillId="0" borderId="1" pivotButton="0" quotePrefix="0" xfId="0"/>
    <xf numFmtId="0" fontId="21" fillId="0" borderId="0" applyAlignment="1" pivotButton="0" quotePrefix="0" xfId="0">
      <alignment vertical="top" wrapText="1"/>
    </xf>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xf numFmtId="0" fontId="1" fillId="0" borderId="1" applyAlignment="1" pivotButton="0" quotePrefix="0" xfId="0">
      <alignment horizontal="right"/>
    </xf>
    <xf numFmtId="0" fontId="15" fillId="0" borderId="0" pivotButton="0" quotePrefix="0" xfId="0"/>
    <xf numFmtId="0" fontId="2" fillId="0" borderId="0" pivotButton="0" quotePrefix="0" xfId="0"/>
    <xf numFmtId="164" fontId="3" fillId="0" borderId="0" pivotButton="0" quotePrefix="0" xfId="0"/>
    <xf numFmtId="0" fontId="4" fillId="0" borderId="0" applyAlignment="1" pivotButton="0" quotePrefix="0" xfId="0">
      <alignment horizontal="left"/>
    </xf>
    <xf numFmtId="165" fontId="6" fillId="0" borderId="0" applyAlignment="1" pivotButton="0" quotePrefix="0" xfId="0">
      <alignment horizontal="right"/>
    </xf>
    <xf numFmtId="165" fontId="7" fillId="0" borderId="0" pivotButton="0" quotePrefix="0" xfId="0"/>
    <xf numFmtId="166" fontId="3" fillId="0" borderId="0" pivotButton="0" quotePrefix="0" xfId="0"/>
    <xf numFmtId="167" fontId="3" fillId="0" borderId="0" pivotButton="0" quotePrefix="0" xfId="0"/>
    <xf numFmtId="0" fontId="8" fillId="0" borderId="0" pivotButton="0" quotePrefix="0" xfId="0"/>
    <xf numFmtId="164" fontId="8" fillId="0" borderId="0" pivotButton="0" quotePrefix="0" xfId="0"/>
    <xf numFmtId="164" fontId="6" fillId="0" borderId="0" applyAlignment="1" pivotButton="0" quotePrefix="0" xfId="0">
      <alignment horizontal="right"/>
    </xf>
    <xf numFmtId="164" fontId="9" fillId="0" borderId="0" pivotButton="0" quotePrefix="0" xfId="0"/>
    <xf numFmtId="0" fontId="10" fillId="0" borderId="0" pivotButton="0" quotePrefix="0" xfId="0"/>
    <xf numFmtId="164" fontId="7" fillId="0" borderId="0" pivotButton="0" quotePrefix="0" xfId="0"/>
    <xf numFmtId="0" fontId="3" fillId="0" borderId="0" pivotButton="0" quotePrefix="0" xfId="0"/>
    <xf numFmtId="0" fontId="16" fillId="0" borderId="0" pivotButton="0" quotePrefix="0" xfId="0"/>
    <xf numFmtId="0" fontId="17" fillId="0" borderId="0" pivotButton="0" quotePrefix="0" xfId="0"/>
    <xf numFmtId="0" fontId="18" fillId="0" borderId="0" pivotButton="0" quotePrefix="0" xfId="0"/>
  </cellXfs>
  <cellStyles count="1">
    <cellStyle name="Normal" xfId="0" builtinId="0" hidden="0"/>
  </cellStyles>
  <dxfs count="1">
    <dxf>
      <font>
        <b val="1"/>
        <color rgb="FFFFFFFF"/>
      </font>
      <fill>
        <patternFill patternType="solid">
          <fgColor rgb="FFC0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1628775" cy="30480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971550" cy="1809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971550" cy="180975"/>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971550" cy="180975"/>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971550" cy="180975"/>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971550" cy="180975"/>
    <pic>
      <nvPicPr>
        <cNvPr id="1" name="Image 1" descr="Picture"/>
        <cNvPicPr/>
      </nvPicPr>
      <blipFill>
        <a:blip cstate="print" r:embed="rId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971550" cy="180975"/>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hyperlink" Target="https://www.sec.gov/Archives/edgar/data/1045810/000104581022000036/0001045810-22-000036-index.htm" TargetMode="External" Id="rId1" /><Relationship Type="http://schemas.openxmlformats.org/officeDocument/2006/relationships/hyperlink" Target="https://www.sec.gov/Archives/edgar/data/1045810/000104581023000017/0001045810-23-000017-index.htm" TargetMode="External" Id="rId2" /><Relationship Type="http://schemas.openxmlformats.org/officeDocument/2006/relationships/hyperlink" Target="https://www.sec.gov/Archives/edgar/data/1045810/000104581024000029/0001045810-24-000029-index.htm" TargetMode="External" Id="rId3" /><Relationship Type="http://schemas.openxmlformats.org/officeDocument/2006/relationships/hyperlink" Target="https://www.sec.gov/Archives/edgar/data/1045810/000104581025000023/0001045810-25-000023-index.htm" TargetMode="External" Id="rId4" /><Relationship Type="http://schemas.openxmlformats.org/officeDocument/2006/relationships/hyperlink" Target="https://www.sec.gov/Archives/edgar/data/1045810/000104581026000021/0001045810-26-000021-index.htm" TargetMode="External" Id="rId5" /><Relationship Type="http://schemas.openxmlformats.org/officeDocument/2006/relationships/hyperlink" Target="https://www.sec.gov/Archives/edgar/data/1045810/000104581022000036/0001045810-22-000036-index.htm" TargetMode="External" Id="rId6" /><Relationship Type="http://schemas.openxmlformats.org/officeDocument/2006/relationships/hyperlink" Target="https://www.sec.gov/Archives/edgar/data/1045810/000104581023000017/0001045810-23-000017-index.htm" TargetMode="External" Id="rId7" /><Relationship Type="http://schemas.openxmlformats.org/officeDocument/2006/relationships/hyperlink" Target="https://www.sec.gov/Archives/edgar/data/1045810/000104581024000029/0001045810-24-000029-index.htm" TargetMode="External" Id="rId8" /><Relationship Type="http://schemas.openxmlformats.org/officeDocument/2006/relationships/hyperlink" Target="https://www.sec.gov/Archives/edgar/data/1045810/000104581025000023/0001045810-25-000023-index.htm" TargetMode="External" Id="rId9" /><Relationship Type="http://schemas.openxmlformats.org/officeDocument/2006/relationships/hyperlink" Target="https://www.sec.gov/Archives/edgar/data/1045810/000104581026000021/0001045810-26-000021-index.htm" TargetMode="External" Id="rId10" /><Relationship Type="http://schemas.openxmlformats.org/officeDocument/2006/relationships/hyperlink" Target="https://www.sec.gov/Archives/edgar/data/1045810/000104581022000036/0001045810-22-000036-index.htm" TargetMode="External" Id="rId11" /><Relationship Type="http://schemas.openxmlformats.org/officeDocument/2006/relationships/hyperlink" Target="https://www.sec.gov/Archives/edgar/data/1045810/000104581023000017/0001045810-23-000017-index.htm" TargetMode="External" Id="rId12" /><Relationship Type="http://schemas.openxmlformats.org/officeDocument/2006/relationships/hyperlink" Target="https://www.sec.gov/Archives/edgar/data/1045810/000104581024000029/0001045810-24-000029-index.htm" TargetMode="External" Id="rId13" /><Relationship Type="http://schemas.openxmlformats.org/officeDocument/2006/relationships/hyperlink" Target="https://www.sec.gov/Archives/edgar/data/1045810/000104581025000023/0001045810-25-000023-index.htm" TargetMode="External" Id="rId14" /><Relationship Type="http://schemas.openxmlformats.org/officeDocument/2006/relationships/hyperlink" Target="https://www.sec.gov/Archives/edgar/data/1045810/000104581026000021/0001045810-26-000021-index.htm" TargetMode="External" Id="rId15" /><Relationship Type="http://schemas.openxmlformats.org/officeDocument/2006/relationships/hyperlink" Target="https://www.sec.gov/Archives/edgar/data/1045810/000104581022000036/0001045810-22-000036-index.htm" TargetMode="External" Id="rId16" /><Relationship Type="http://schemas.openxmlformats.org/officeDocument/2006/relationships/hyperlink" Target="https://www.sec.gov/Archives/edgar/data/1045810/000104581023000017/0001045810-23-000017-index.htm" TargetMode="External" Id="rId17" /><Relationship Type="http://schemas.openxmlformats.org/officeDocument/2006/relationships/hyperlink" Target="https://www.sec.gov/Archives/edgar/data/1045810/000104581024000029/0001045810-24-000029-index.htm" TargetMode="External" Id="rId18" /><Relationship Type="http://schemas.openxmlformats.org/officeDocument/2006/relationships/hyperlink" Target="https://www.sec.gov/Archives/edgar/data/1045810/000104581025000023/0001045810-25-000023-index.htm" TargetMode="External" Id="rId19" /><Relationship Type="http://schemas.openxmlformats.org/officeDocument/2006/relationships/hyperlink" Target="https://www.sec.gov/Archives/edgar/data/1045810/000104581026000021/0001045810-26-000021-index.htm" TargetMode="External" Id="rId20" /><Relationship Type="http://schemas.openxmlformats.org/officeDocument/2006/relationships/hyperlink" Target="https://www.sec.gov/Archives/edgar/data/1045810/000104581022000036/0001045810-22-000036-index.htm" TargetMode="External" Id="rId21" /><Relationship Type="http://schemas.openxmlformats.org/officeDocument/2006/relationships/hyperlink" Target="https://www.sec.gov/Archives/edgar/data/1045810/000104581023000017/0001045810-23-000017-index.htm" TargetMode="External" Id="rId22" /><Relationship Type="http://schemas.openxmlformats.org/officeDocument/2006/relationships/hyperlink" Target="https://www.sec.gov/Archives/edgar/data/1045810/000104581024000029/0001045810-24-000029-index.htm" TargetMode="External" Id="rId23" /><Relationship Type="http://schemas.openxmlformats.org/officeDocument/2006/relationships/hyperlink" Target="https://www.sec.gov/Archives/edgar/data/1045810/000104581025000023/0001045810-25-000023-index.htm" TargetMode="External" Id="rId24" /><Relationship Type="http://schemas.openxmlformats.org/officeDocument/2006/relationships/hyperlink" Target="https://www.sec.gov/Archives/edgar/data/1045810/000104581026000021/0001045810-26-000021-index.htm" TargetMode="External" Id="rId25" /><Relationship Type="http://schemas.openxmlformats.org/officeDocument/2006/relationships/hyperlink" Target="https://www.sec.gov/Archives/edgar/data/1045810/000104581022000036/0001045810-22-000036-index.htm" TargetMode="External" Id="rId26" /><Relationship Type="http://schemas.openxmlformats.org/officeDocument/2006/relationships/hyperlink" Target="https://www.sec.gov/Archives/edgar/data/1045810/000104581023000017/0001045810-23-000017-index.htm" TargetMode="External" Id="rId27" /><Relationship Type="http://schemas.openxmlformats.org/officeDocument/2006/relationships/hyperlink" Target="https://www.sec.gov/Archives/edgar/data/1045810/000104581024000029/0001045810-24-000029-index.htm" TargetMode="External" Id="rId28" /><Relationship Type="http://schemas.openxmlformats.org/officeDocument/2006/relationships/hyperlink" Target="https://www.sec.gov/Archives/edgar/data/1045810/000104581025000023/0001045810-25-000023-index.htm" TargetMode="External" Id="rId29" /><Relationship Type="http://schemas.openxmlformats.org/officeDocument/2006/relationships/hyperlink" Target="https://www.sec.gov/Archives/edgar/data/1045810/000104581026000021/0001045810-26-000021-index.htm" TargetMode="External" Id="rId30" /><Relationship Type="http://schemas.openxmlformats.org/officeDocument/2006/relationships/hyperlink" Target="https://www.sec.gov/Archives/edgar/data/1045810/000104581022000036/0001045810-22-000036-index.htm" TargetMode="External" Id="rId31" /><Relationship Type="http://schemas.openxmlformats.org/officeDocument/2006/relationships/hyperlink" Target="https://www.sec.gov/Archives/edgar/data/1045810/000104581023000017/0001045810-23-000017-index.htm" TargetMode="External" Id="rId32" /><Relationship Type="http://schemas.openxmlformats.org/officeDocument/2006/relationships/hyperlink" Target="https://www.sec.gov/Archives/edgar/data/1045810/000104581024000029/0001045810-24-000029-index.htm" TargetMode="External" Id="rId33" /><Relationship Type="http://schemas.openxmlformats.org/officeDocument/2006/relationships/hyperlink" Target="https://www.sec.gov/Archives/edgar/data/1045810/000104581025000023/0001045810-25-000023-index.htm" TargetMode="External" Id="rId34" /><Relationship Type="http://schemas.openxmlformats.org/officeDocument/2006/relationships/hyperlink" Target="https://www.sec.gov/Archives/edgar/data/1045810/000104581026000021/0001045810-26-000021-index.htm" TargetMode="External" Id="rId35" /><Relationship Type="http://schemas.openxmlformats.org/officeDocument/2006/relationships/hyperlink" Target="https://www.sec.gov/Archives/edgar/data/1045810/000104581024000029/0001045810-24-000029-index.htm" TargetMode="External" Id="rId36" /><Relationship Type="http://schemas.openxmlformats.org/officeDocument/2006/relationships/hyperlink" Target="https://www.sec.gov/Archives/edgar/data/1045810/000104581024000029/0001045810-24-000029-index.htm" TargetMode="External" Id="rId37" /><Relationship Type="http://schemas.openxmlformats.org/officeDocument/2006/relationships/hyperlink" Target="https://www.sec.gov/Archives/edgar/data/1045810/000104581024000029/0001045810-24-000029-index.htm" TargetMode="External" Id="rId38" /><Relationship Type="http://schemas.openxmlformats.org/officeDocument/2006/relationships/hyperlink" Target="https://www.sec.gov/Archives/edgar/data/1045810/000104581025000023/0001045810-25-000023-index.htm" TargetMode="External" Id="rId39" /><Relationship Type="http://schemas.openxmlformats.org/officeDocument/2006/relationships/hyperlink" Target="https://www.sec.gov/Archives/edgar/data/1045810/000104581026000021/0001045810-26-000021-index.htm" TargetMode="External" Id="rId40" /><Relationship Type="http://schemas.openxmlformats.org/officeDocument/2006/relationships/hyperlink" Target="https://www.sec.gov/Archives/edgar/data/1045810/000104581022000036/0001045810-22-000036-index.htm" TargetMode="External" Id="rId41" /><Relationship Type="http://schemas.openxmlformats.org/officeDocument/2006/relationships/hyperlink" Target="https://www.sec.gov/Archives/edgar/data/1045810/000104581023000017/0001045810-23-000017-index.htm" TargetMode="External" Id="rId42" /><Relationship Type="http://schemas.openxmlformats.org/officeDocument/2006/relationships/hyperlink" Target="https://www.sec.gov/Archives/edgar/data/1045810/000104581024000029/0001045810-24-000029-index.htm" TargetMode="External" Id="rId43" /><Relationship Type="http://schemas.openxmlformats.org/officeDocument/2006/relationships/hyperlink" Target="https://www.sec.gov/Archives/edgar/data/1045810/000104581025000023/0001045810-25-000023-index.htm" TargetMode="External" Id="rId44" /><Relationship Type="http://schemas.openxmlformats.org/officeDocument/2006/relationships/hyperlink" Target="https://www.sec.gov/Archives/edgar/data/1045810/000104581026000021/0001045810-26-000021-index.htm" TargetMode="External" Id="rId45" /><Relationship Type="http://schemas.openxmlformats.org/officeDocument/2006/relationships/hyperlink" Target="https://www.sec.gov/Archives/edgar/data/1045810/000104581022000036/0001045810-22-000036-index.htm" TargetMode="External" Id="rId46" /><Relationship Type="http://schemas.openxmlformats.org/officeDocument/2006/relationships/hyperlink" Target="https://www.sec.gov/Archives/edgar/data/1045810/000104581023000017/0001045810-23-000017-index.htm" TargetMode="External" Id="rId47" /><Relationship Type="http://schemas.openxmlformats.org/officeDocument/2006/relationships/hyperlink" Target="https://www.sec.gov/Archives/edgar/data/1045810/000104581024000029/0001045810-24-000029-index.htm" TargetMode="External" Id="rId48" /><Relationship Type="http://schemas.openxmlformats.org/officeDocument/2006/relationships/hyperlink" Target="https://www.sec.gov/Archives/edgar/data/1045810/000104581025000023/0001045810-25-000023-index.htm" TargetMode="External" Id="rId49" /><Relationship Type="http://schemas.openxmlformats.org/officeDocument/2006/relationships/hyperlink" Target="https://www.sec.gov/Archives/edgar/data/1045810/000104581022000036/0001045810-22-000036-index.htm" TargetMode="External" Id="rId50" /><Relationship Type="http://schemas.openxmlformats.org/officeDocument/2006/relationships/hyperlink" Target="https://www.sec.gov/Archives/edgar/data/1045810/000104581023000017/0001045810-23-000017-index.htm" TargetMode="External" Id="rId51" /><Relationship Type="http://schemas.openxmlformats.org/officeDocument/2006/relationships/hyperlink" Target="https://www.sec.gov/Archives/edgar/data/1045810/000104581024000029/0001045810-24-000029-index.htm" TargetMode="External" Id="rId52" /><Relationship Type="http://schemas.openxmlformats.org/officeDocument/2006/relationships/hyperlink" Target="https://www.sec.gov/Archives/edgar/data/1045810/000104581025000023/0001045810-25-000023-index.htm" TargetMode="External" Id="rId53" /><Relationship Type="http://schemas.openxmlformats.org/officeDocument/2006/relationships/hyperlink" Target="https://www.sec.gov/Archives/edgar/data/1045810/000104581026000021/0001045810-26-000021-index.htm" TargetMode="External" Id="rId54" /><Relationship Type="http://schemas.openxmlformats.org/officeDocument/2006/relationships/hyperlink" Target="https://www.sec.gov/Archives/edgar/data/1045810/000104581022000036/0001045810-22-000036-index.htm" TargetMode="External" Id="rId55" /><Relationship Type="http://schemas.openxmlformats.org/officeDocument/2006/relationships/hyperlink" Target="https://www.sec.gov/Archives/edgar/data/1045810/000104581023000017/0001045810-23-000017-index.htm" TargetMode="External" Id="rId56" /><Relationship Type="http://schemas.openxmlformats.org/officeDocument/2006/relationships/hyperlink" Target="https://www.sec.gov/Archives/edgar/data/1045810/000104581024000029/0001045810-24-000029-index.htm" TargetMode="External" Id="rId57" /><Relationship Type="http://schemas.openxmlformats.org/officeDocument/2006/relationships/hyperlink" Target="https://www.sec.gov/Archives/edgar/data/1045810/000104581025000023/0001045810-25-000023-index.htm" TargetMode="External" Id="rId58" /><Relationship Type="http://schemas.openxmlformats.org/officeDocument/2006/relationships/hyperlink" Target="https://www.sec.gov/Archives/edgar/data/1045810/000104581026000021/0001045810-26-000021-index.htm" TargetMode="External" Id="rId59" /><Relationship Type="http://schemas.openxmlformats.org/officeDocument/2006/relationships/hyperlink" Target="https://www.sec.gov/Archives/edgar/data/1045810/000104581022000036/0001045810-22-000036-index.htm" TargetMode="External" Id="rId60" /><Relationship Type="http://schemas.openxmlformats.org/officeDocument/2006/relationships/hyperlink" Target="https://www.sec.gov/Archives/edgar/data/1045810/000104581023000017/0001045810-23-000017-index.htm" TargetMode="External" Id="rId61" /><Relationship Type="http://schemas.openxmlformats.org/officeDocument/2006/relationships/hyperlink" Target="https://www.sec.gov/Archives/edgar/data/1045810/000104581024000029/0001045810-24-000029-index.htm" TargetMode="External" Id="rId62" /><Relationship Type="http://schemas.openxmlformats.org/officeDocument/2006/relationships/hyperlink" Target="https://www.sec.gov/Archives/edgar/data/1045810/000104581025000023/0001045810-25-000023-index.htm" TargetMode="External" Id="rId63" /><Relationship Type="http://schemas.openxmlformats.org/officeDocument/2006/relationships/hyperlink" Target="https://www.sec.gov/Archives/edgar/data/1045810/000104581026000021/0001045810-26-000021-index.htm" TargetMode="External" Id="rId64" /><Relationship Type="http://schemas.openxmlformats.org/officeDocument/2006/relationships/hyperlink" Target="https://www.sec.gov/Archives/edgar/data/1045810/000104581022000036/0001045810-22-000036-index.htm" TargetMode="External" Id="rId65" /><Relationship Type="http://schemas.openxmlformats.org/officeDocument/2006/relationships/hyperlink" Target="https://www.sec.gov/Archives/edgar/data/1045810/000104581023000017/0001045810-23-000017-index.htm" TargetMode="External" Id="rId66" /><Relationship Type="http://schemas.openxmlformats.org/officeDocument/2006/relationships/hyperlink" Target="https://www.sec.gov/Archives/edgar/data/1045810/000104581024000029/0001045810-24-000029-index.htm" TargetMode="External" Id="rId67" /><Relationship Type="http://schemas.openxmlformats.org/officeDocument/2006/relationships/hyperlink" Target="https://www.sec.gov/Archives/edgar/data/1045810/000104581025000023/0001045810-25-000023-index.htm" TargetMode="External" Id="rId68" /><Relationship Type="http://schemas.openxmlformats.org/officeDocument/2006/relationships/hyperlink" Target="https://www.sec.gov/Archives/edgar/data/1045810/000104581026000021/0001045810-26-000021-index.htm" TargetMode="External" Id="rId69" /><Relationship Type="http://schemas.openxmlformats.org/officeDocument/2006/relationships/hyperlink" Target="https://www.sec.gov/Archives/edgar/data/1045810/000104581022000036/0001045810-22-000036-index.htm" TargetMode="External" Id="rId70" /><Relationship Type="http://schemas.openxmlformats.org/officeDocument/2006/relationships/hyperlink" Target="https://www.sec.gov/Archives/edgar/data/1045810/000104581023000017/0001045810-23-000017-index.htm" TargetMode="External" Id="rId71" /><Relationship Type="http://schemas.openxmlformats.org/officeDocument/2006/relationships/hyperlink" Target="https://www.sec.gov/Archives/edgar/data/1045810/000104581024000029/0001045810-24-000029-index.htm" TargetMode="External" Id="rId72" /><Relationship Type="http://schemas.openxmlformats.org/officeDocument/2006/relationships/hyperlink" Target="https://www.sec.gov/Archives/edgar/data/1045810/000104581025000023/0001045810-25-000023-index.htm" TargetMode="External" Id="rId73" /><Relationship Type="http://schemas.openxmlformats.org/officeDocument/2006/relationships/hyperlink" Target="https://www.sec.gov/Archives/edgar/data/1045810/000104581026000021/0001045810-26-000021-index.htm" TargetMode="External" Id="rId74" /><Relationship Type="http://schemas.openxmlformats.org/officeDocument/2006/relationships/hyperlink" Target="https://www.sec.gov/Archives/edgar/data/1045810/000104581022000036/0001045810-22-000036-index.htm" TargetMode="External" Id="rId75" /><Relationship Type="http://schemas.openxmlformats.org/officeDocument/2006/relationships/hyperlink" Target="https://www.sec.gov/Archives/edgar/data/1045810/000104581023000017/0001045810-23-000017-index.htm" TargetMode="External" Id="rId76" /><Relationship Type="http://schemas.openxmlformats.org/officeDocument/2006/relationships/hyperlink" Target="https://www.sec.gov/Archives/edgar/data/1045810/000104581024000029/0001045810-24-000029-index.htm" TargetMode="External" Id="rId77" /><Relationship Type="http://schemas.openxmlformats.org/officeDocument/2006/relationships/hyperlink" Target="https://www.sec.gov/Archives/edgar/data/1045810/000104581025000023/0001045810-25-000023-index.htm" TargetMode="External" Id="rId78" /><Relationship Type="http://schemas.openxmlformats.org/officeDocument/2006/relationships/hyperlink" Target="https://www.sec.gov/Archives/edgar/data/1045810/000104581026000021/0001045810-26-000021-index.htm" TargetMode="External" Id="rId79" /><Relationship Type="http://schemas.openxmlformats.org/officeDocument/2006/relationships/hyperlink" Target="https://www.sec.gov/Archives/edgar/data/1045810/000104581022000036/0001045810-22-000036-index.htm" TargetMode="External" Id="rId80" /><Relationship Type="http://schemas.openxmlformats.org/officeDocument/2006/relationships/hyperlink" Target="https://www.sec.gov/Archives/edgar/data/1045810/000104581023000017/0001045810-23-000017-index.htm" TargetMode="External" Id="rId81" /><Relationship Type="http://schemas.openxmlformats.org/officeDocument/2006/relationships/hyperlink" Target="https://www.sec.gov/Archives/edgar/data/1045810/000104581024000029/0001045810-24-000029-index.htm" TargetMode="External" Id="rId82" /><Relationship Type="http://schemas.openxmlformats.org/officeDocument/2006/relationships/hyperlink" Target="https://www.sec.gov/Archives/edgar/data/1045810/000104581022000036/0001045810-22-000036-index.htm" TargetMode="External" Id="rId83" /><Relationship Type="http://schemas.openxmlformats.org/officeDocument/2006/relationships/hyperlink" Target="https://www.sec.gov/Archives/edgar/data/1045810/000104581023000017/0001045810-23-000017-index.htm" TargetMode="External" Id="rId84" /><Relationship Type="http://schemas.openxmlformats.org/officeDocument/2006/relationships/hyperlink" Target="https://www.sec.gov/Archives/edgar/data/1045810/000104581024000029/0001045810-24-000029-index.htm" TargetMode="External" Id="rId85" /><Relationship Type="http://schemas.openxmlformats.org/officeDocument/2006/relationships/hyperlink" Target="https://www.sec.gov/Archives/edgar/data/1045810/000104581025000023/0001045810-25-000023-index.htm" TargetMode="External" Id="rId86" /><Relationship Type="http://schemas.openxmlformats.org/officeDocument/2006/relationships/hyperlink" Target="https://www.sec.gov/Archives/edgar/data/1045810/000104581026000021/0001045810-26-000021-index.htm" TargetMode="External" Id="rId87" /><Relationship Type="http://schemas.openxmlformats.org/officeDocument/2006/relationships/hyperlink" Target="https://www.sec.gov/Archives/edgar/data/1045810/000104581022000036/0001045810-22-000036-index.htm" TargetMode="External" Id="rId88" /><Relationship Type="http://schemas.openxmlformats.org/officeDocument/2006/relationships/hyperlink" Target="https://www.sec.gov/Archives/edgar/data/1045810/000104581023000017/0001045810-23-000017-index.htm" TargetMode="External" Id="rId89" /><Relationship Type="http://schemas.openxmlformats.org/officeDocument/2006/relationships/hyperlink" Target="https://www.sec.gov/Archives/edgar/data/1045810/000104581024000029/0001045810-24-000029-index.htm" TargetMode="External" Id="rId90" /><Relationship Type="http://schemas.openxmlformats.org/officeDocument/2006/relationships/hyperlink" Target="https://www.sec.gov/Archives/edgar/data/1045810/000104581025000023/0001045810-25-000023-index.htm" TargetMode="External" Id="rId91" /><Relationship Type="http://schemas.openxmlformats.org/officeDocument/2006/relationships/hyperlink" Target="https://www.sec.gov/Archives/edgar/data/1045810/000104581026000021/0001045810-26-000021-index.htm" TargetMode="External" Id="rId92" /><Relationship Type="http://schemas.openxmlformats.org/officeDocument/2006/relationships/hyperlink" Target="https://www.sec.gov/Archives/edgar/data/1045810/000104581022000036/0001045810-22-000036-index.htm" TargetMode="External" Id="rId93" /><Relationship Type="http://schemas.openxmlformats.org/officeDocument/2006/relationships/hyperlink" Target="https://www.sec.gov/Archives/edgar/data/1045810/000104581023000017/0001045810-23-000017-index.htm" TargetMode="External" Id="rId94" /><Relationship Type="http://schemas.openxmlformats.org/officeDocument/2006/relationships/hyperlink" Target="https://www.sec.gov/Archives/edgar/data/1045810/000104581024000029/0001045810-24-000029-index.htm" TargetMode="External" Id="rId95" /><Relationship Type="http://schemas.openxmlformats.org/officeDocument/2006/relationships/hyperlink" Target="https://www.sec.gov/Archives/edgar/data/1045810/000104581025000023/0001045810-25-000023-index.htm" TargetMode="External" Id="rId96" /><Relationship Type="http://schemas.openxmlformats.org/officeDocument/2006/relationships/hyperlink" Target="https://www.sec.gov/Archives/edgar/data/1045810/000104581026000021/0001045810-26-000021-index.htm" TargetMode="External" Id="rId97" /><Relationship Type="http://schemas.openxmlformats.org/officeDocument/2006/relationships/hyperlink" Target="https://www.sec.gov/Archives/edgar/data/1045810/000104581022000036/0001045810-22-000036-index.htm" TargetMode="External" Id="rId98" /><Relationship Type="http://schemas.openxmlformats.org/officeDocument/2006/relationships/hyperlink" Target="https://www.sec.gov/Archives/edgar/data/1045810/000104581023000017/0001045810-23-000017-index.htm" TargetMode="External" Id="rId99" /><Relationship Type="http://schemas.openxmlformats.org/officeDocument/2006/relationships/hyperlink" Target="https://www.sec.gov/Archives/edgar/data/1045810/000104581024000029/0001045810-24-000029-index.htm" TargetMode="External" Id="rId100" /><Relationship Type="http://schemas.openxmlformats.org/officeDocument/2006/relationships/hyperlink" Target="https://www.sec.gov/Archives/edgar/data/1045810/000104581025000023/0001045810-25-000023-index.htm" TargetMode="External" Id="rId101" /><Relationship Type="http://schemas.openxmlformats.org/officeDocument/2006/relationships/hyperlink" Target="https://www.sec.gov/Archives/edgar/data/1045810/000104581026000021/0001045810-26-000021-index.htm" TargetMode="External" Id="rId102" /><Relationship Type="http://schemas.openxmlformats.org/officeDocument/2006/relationships/hyperlink" Target="https://www.sec.gov/Archives/edgar/data/1045810/000104581022000036/0001045810-22-000036-index.htm" TargetMode="External" Id="rId103" /><Relationship Type="http://schemas.openxmlformats.org/officeDocument/2006/relationships/hyperlink" Target="https://www.sec.gov/Archives/edgar/data/1045810/000104581023000017/0001045810-23-000017-index.htm" TargetMode="External" Id="rId104" /><Relationship Type="http://schemas.openxmlformats.org/officeDocument/2006/relationships/hyperlink" Target="https://www.sec.gov/Archives/edgar/data/1045810/000104581024000029/0001045810-24-000029-index.htm" TargetMode="External" Id="rId105" /><Relationship Type="http://schemas.openxmlformats.org/officeDocument/2006/relationships/hyperlink" Target="https://www.sec.gov/Archives/edgar/data/1045810/000104581025000023/0001045810-25-000023-index.htm" TargetMode="External" Id="rId106" /><Relationship Type="http://schemas.openxmlformats.org/officeDocument/2006/relationships/hyperlink" Target="https://www.sec.gov/Archives/edgar/data/1045810/000104581026000021/0001045810-26-000021-index.htm" TargetMode="External" Id="rId107" /><Relationship Type="http://schemas.openxmlformats.org/officeDocument/2006/relationships/hyperlink" Target="https://www.sec.gov/Archives/edgar/data/1045810/000104581022000036/0001045810-22-000036-index.htm" TargetMode="External" Id="rId108" /><Relationship Type="http://schemas.openxmlformats.org/officeDocument/2006/relationships/hyperlink" Target="https://www.sec.gov/Archives/edgar/data/1045810/000104581023000017/0001045810-23-000017-index.htm" TargetMode="External" Id="rId109" /><Relationship Type="http://schemas.openxmlformats.org/officeDocument/2006/relationships/hyperlink" Target="https://www.sec.gov/Archives/edgar/data/1045810/000104581024000029/0001045810-24-000029-index.htm" TargetMode="External" Id="rId110" /><Relationship Type="http://schemas.openxmlformats.org/officeDocument/2006/relationships/hyperlink" Target="https://www.sec.gov/Archives/edgar/data/1045810/000104581025000023/0001045810-25-000023-index.htm" TargetMode="External" Id="rId111" /><Relationship Type="http://schemas.openxmlformats.org/officeDocument/2006/relationships/hyperlink" Target="https://www.sec.gov/Archives/edgar/data/1045810/000104581026000021/0001045810-26-000021-index.htm" TargetMode="External" Id="rId112" /><Relationship Type="http://schemas.openxmlformats.org/officeDocument/2006/relationships/hyperlink" Target="https://www.sec.gov/Archives/edgar/data/1045810/000104581022000036/0001045810-22-000036-index.htm" TargetMode="External" Id="rId113" /><Relationship Type="http://schemas.openxmlformats.org/officeDocument/2006/relationships/hyperlink" Target="https://www.sec.gov/Archives/edgar/data/1045810/000104581023000017/0001045810-23-000017-index.htm" TargetMode="External" Id="rId114" /><Relationship Type="http://schemas.openxmlformats.org/officeDocument/2006/relationships/hyperlink" Target="https://www.sec.gov/Archives/edgar/data/1045810/000104581024000029/0001045810-24-000029-index.htm" TargetMode="External" Id="rId115" /><Relationship Type="http://schemas.openxmlformats.org/officeDocument/2006/relationships/hyperlink" Target="https://www.sec.gov/Archives/edgar/data/1045810/000104581025000023/0001045810-25-000023-index.htm" TargetMode="External" Id="rId116" /><Relationship Type="http://schemas.openxmlformats.org/officeDocument/2006/relationships/hyperlink" Target="https://www.sec.gov/Archives/edgar/data/1045810/000104581026000021/0001045810-26-000021-index.htm" TargetMode="External" Id="rId117" /><Relationship Type="http://schemas.openxmlformats.org/officeDocument/2006/relationships/hyperlink" Target="https://www.sec.gov/Archives/edgar/data/1045810/000104581022000036/0001045810-22-000036-index.htm" TargetMode="External" Id="rId118" /><Relationship Type="http://schemas.openxmlformats.org/officeDocument/2006/relationships/hyperlink" Target="https://www.sec.gov/Archives/edgar/data/1045810/000104581023000017/0001045810-23-000017-index.htm" TargetMode="External" Id="rId119" /><Relationship Type="http://schemas.openxmlformats.org/officeDocument/2006/relationships/hyperlink" Target="https://www.sec.gov/Archives/edgar/data/1045810/000104581024000029/0001045810-24-000029-index.htm" TargetMode="External" Id="rId120" /><Relationship Type="http://schemas.openxmlformats.org/officeDocument/2006/relationships/hyperlink" Target="https://www.sec.gov/Archives/edgar/data/1045810/000104581025000023/0001045810-25-000023-index.htm" TargetMode="External" Id="rId121" /><Relationship Type="http://schemas.openxmlformats.org/officeDocument/2006/relationships/hyperlink" Target="https://www.sec.gov/Archives/edgar/data/1045810/000104581026000021/0001045810-26-000021-index.htm" TargetMode="External" Id="rId122" /><Relationship Type="http://schemas.openxmlformats.org/officeDocument/2006/relationships/hyperlink" Target="https://www.sec.gov/Archives/edgar/data/1045810/000104581022000036/0001045810-22-000036-index.htm" TargetMode="External" Id="rId123" /><Relationship Type="http://schemas.openxmlformats.org/officeDocument/2006/relationships/hyperlink" Target="https://www.sec.gov/Archives/edgar/data/1045810/000104581023000017/0001045810-23-000017-index.htm" TargetMode="External" Id="rId124" /><Relationship Type="http://schemas.openxmlformats.org/officeDocument/2006/relationships/hyperlink" Target="https://www.sec.gov/Archives/edgar/data/1045810/000104581024000029/0001045810-24-000029-index.htm" TargetMode="External" Id="rId125" /><Relationship Type="http://schemas.openxmlformats.org/officeDocument/2006/relationships/hyperlink" Target="https://www.sec.gov/Archives/edgar/data/1045810/000104581025000023/0001045810-25-000023-index.htm" TargetMode="External" Id="rId126" /><Relationship Type="http://schemas.openxmlformats.org/officeDocument/2006/relationships/hyperlink" Target="https://www.sec.gov/Archives/edgar/data/1045810/000104581026000021/0001045810-26-000021-index.htm" TargetMode="External" Id="rId127" /><Relationship Type="http://schemas.openxmlformats.org/officeDocument/2006/relationships/hyperlink" Target="https://www.sec.gov/Archives/edgar/data/1045810/000104581022000036/0001045810-22-000036-index.htm" TargetMode="External" Id="rId128" /><Relationship Type="http://schemas.openxmlformats.org/officeDocument/2006/relationships/hyperlink" Target="https://www.sec.gov/Archives/edgar/data/1045810/000104581023000017/0001045810-23-000017-index.htm" TargetMode="External" Id="rId129" /><Relationship Type="http://schemas.openxmlformats.org/officeDocument/2006/relationships/hyperlink" Target="https://www.sec.gov/Archives/edgar/data/1045810/000104581024000029/0001045810-24-000029-index.htm" TargetMode="External" Id="rId130" /><Relationship Type="http://schemas.openxmlformats.org/officeDocument/2006/relationships/hyperlink" Target="https://www.sec.gov/Archives/edgar/data/1045810/000104581025000023/0001045810-25-000023-index.htm" TargetMode="External" Id="rId131" /><Relationship Type="http://schemas.openxmlformats.org/officeDocument/2006/relationships/hyperlink" Target="https://www.sec.gov/Archives/edgar/data/1045810/000104581026000021/0001045810-26-000021-index.htm" TargetMode="External" Id="rId132" /><Relationship Type="http://schemas.openxmlformats.org/officeDocument/2006/relationships/hyperlink" Target="https://www.sec.gov/Archives/edgar/data/1045810/000104581022000036/0001045810-22-000036-index.htm" TargetMode="External" Id="rId133" /><Relationship Type="http://schemas.openxmlformats.org/officeDocument/2006/relationships/hyperlink" Target="https://www.sec.gov/Archives/edgar/data/1045810/000104581023000017/0001045810-23-000017-index.htm" TargetMode="External" Id="rId134" /><Relationship Type="http://schemas.openxmlformats.org/officeDocument/2006/relationships/hyperlink" Target="https://www.sec.gov/Archives/edgar/data/1045810/000104581024000029/0001045810-24-000029-index.htm" TargetMode="External" Id="rId135" /><Relationship Type="http://schemas.openxmlformats.org/officeDocument/2006/relationships/hyperlink" Target="https://www.sec.gov/Archives/edgar/data/1045810/000104581025000023/0001045810-25-000023-index.htm" TargetMode="External" Id="rId136" /><Relationship Type="http://schemas.openxmlformats.org/officeDocument/2006/relationships/hyperlink" Target="https://www.sec.gov/Archives/edgar/data/1045810/000104581026000021/0001045810-26-000021-index.htm" TargetMode="External" Id="rId137" /><Relationship Type="http://schemas.openxmlformats.org/officeDocument/2006/relationships/hyperlink" Target="https://www.sec.gov/Archives/edgar/data/1045810/000104581022000036/0001045810-22-000036-index.htm" TargetMode="External" Id="rId138" /><Relationship Type="http://schemas.openxmlformats.org/officeDocument/2006/relationships/hyperlink" Target="https://www.sec.gov/Archives/edgar/data/1045810/000104581023000017/0001045810-23-000017-index.htm" TargetMode="External" Id="rId139" /><Relationship Type="http://schemas.openxmlformats.org/officeDocument/2006/relationships/hyperlink" Target="https://www.sec.gov/Archives/edgar/data/1045810/000104581024000029/0001045810-24-000029-index.htm" TargetMode="External" Id="rId140" /><Relationship Type="http://schemas.openxmlformats.org/officeDocument/2006/relationships/hyperlink" Target="https://www.sec.gov/Archives/edgar/data/1045810/000104581025000023/0001045810-25-000023-index.htm" TargetMode="External" Id="rId141" /><Relationship Type="http://schemas.openxmlformats.org/officeDocument/2006/relationships/hyperlink" Target="https://www.sec.gov/Archives/edgar/data/1045810/000104581026000021/0001045810-26-000021-index.htm" TargetMode="External" Id="rId142" /><Relationship Type="http://schemas.openxmlformats.org/officeDocument/2006/relationships/hyperlink" Target="https://www.sec.gov/Archives/edgar/data/1045810/000104581022000036/0001045810-22-000036-index.htm" TargetMode="External" Id="rId143" /><Relationship Type="http://schemas.openxmlformats.org/officeDocument/2006/relationships/hyperlink" Target="https://www.sec.gov/Archives/edgar/data/1045810/000104581023000017/0001045810-23-000017-index.htm" TargetMode="External" Id="rId144" /><Relationship Type="http://schemas.openxmlformats.org/officeDocument/2006/relationships/hyperlink" Target="https://www.sec.gov/Archives/edgar/data/1045810/000104581024000029/0001045810-24-000029-index.htm" TargetMode="External" Id="rId145" /><Relationship Type="http://schemas.openxmlformats.org/officeDocument/2006/relationships/hyperlink" Target="https://www.sec.gov/Archives/edgar/data/1045810/000104581025000023/0001045810-25-000023-index.htm" TargetMode="External" Id="rId146" /><Relationship Type="http://schemas.openxmlformats.org/officeDocument/2006/relationships/hyperlink" Target="https://www.sec.gov/Archives/edgar/data/1045810/000104581026000021/0001045810-26-000021-index.htm" TargetMode="External" Id="rId147" /><Relationship Type="http://schemas.openxmlformats.org/officeDocument/2006/relationships/hyperlink" Target="https://www.sec.gov/Archives/edgar/data/1045810/000104581022000036/0001045810-22-000036-index.htm" TargetMode="External" Id="rId148" /><Relationship Type="http://schemas.openxmlformats.org/officeDocument/2006/relationships/hyperlink" Target="https://www.sec.gov/Archives/edgar/data/1045810/000104581023000017/0001045810-23-000017-index.htm" TargetMode="External" Id="rId149" /><Relationship Type="http://schemas.openxmlformats.org/officeDocument/2006/relationships/hyperlink" Target="https://www.sec.gov/Archives/edgar/data/1045810/000104581024000029/0001045810-24-000029-index.htm" TargetMode="External" Id="rId150" /><Relationship Type="http://schemas.openxmlformats.org/officeDocument/2006/relationships/hyperlink" Target="https://www.sec.gov/Archives/edgar/data/1045810/000104581025000023/0001045810-25-000023-index.htm" TargetMode="External" Id="rId151" /><Relationship Type="http://schemas.openxmlformats.org/officeDocument/2006/relationships/hyperlink" Target="https://www.sec.gov/Archives/edgar/data/1045810/000104581026000021/0001045810-26-000021-index.htm" TargetMode="External" Id="rId152" /><Relationship Type="http://schemas.openxmlformats.org/officeDocument/2006/relationships/hyperlink" Target="https://www.sec.gov/Archives/edgar/data/1045810/000104581023000017/0001045810-23-000017-index.htm" TargetMode="External" Id="rId153" /><Relationship Type="http://schemas.openxmlformats.org/officeDocument/2006/relationships/hyperlink" Target="https://www.sec.gov/Archives/edgar/data/1045810/000104581023000017/0001045810-23-000017-index.htm" TargetMode="External" Id="rId154" /><Relationship Type="http://schemas.openxmlformats.org/officeDocument/2006/relationships/hyperlink" Target="https://www.sec.gov/Archives/edgar/data/1045810/000104581024000029/0001045810-24-000029-index.htm" TargetMode="External" Id="rId155" /><Relationship Type="http://schemas.openxmlformats.org/officeDocument/2006/relationships/hyperlink" Target="https://www.sec.gov/Archives/edgar/data/1045810/000104581025000023/0001045810-25-000023-index.htm" TargetMode="External" Id="rId156" /><Relationship Type="http://schemas.openxmlformats.org/officeDocument/2006/relationships/hyperlink" Target="https://www.sec.gov/Archives/edgar/data/1045810/000104581026000021/0001045810-26-000021-index.htm" TargetMode="External" Id="rId157" /><Relationship Type="http://schemas.openxmlformats.org/officeDocument/2006/relationships/hyperlink" Target="https://www.sec.gov/Archives/edgar/data/1045810/000104581022000036/0001045810-22-000036-index.htm" TargetMode="External" Id="rId158" /><Relationship Type="http://schemas.openxmlformats.org/officeDocument/2006/relationships/hyperlink" Target="https://www.sec.gov/Archives/edgar/data/1045810/000104581023000017/0001045810-23-000017-index.htm" TargetMode="External" Id="rId159" /><Relationship Type="http://schemas.openxmlformats.org/officeDocument/2006/relationships/hyperlink" Target="https://www.sec.gov/Archives/edgar/data/1045810/000104581024000029/0001045810-24-000029-index.htm" TargetMode="External" Id="rId160" /><Relationship Type="http://schemas.openxmlformats.org/officeDocument/2006/relationships/hyperlink" Target="https://www.sec.gov/Archives/edgar/data/1045810/000104581025000023/0001045810-25-000023-index.htm" TargetMode="External" Id="rId161" /><Relationship Type="http://schemas.openxmlformats.org/officeDocument/2006/relationships/hyperlink" Target="https://www.sec.gov/Archives/edgar/data/1045810/000104581026000021/0001045810-26-000021-index.htm" TargetMode="External" Id="rId162" /><Relationship Type="http://schemas.openxmlformats.org/officeDocument/2006/relationships/drawing" Target="/xl/drawings/drawing7.xml" Id="rId163" /></Relationships>
</file>

<file path=xl/worksheets/sheet1.xml><?xml version="1.0" encoding="utf-8"?>
<worksheet xmlns="http://schemas.openxmlformats.org/spreadsheetml/2006/main">
  <sheetPr>
    <outlinePr summaryBelow="1" summaryRight="1"/>
    <pageSetUpPr fitToPage="1"/>
  </sheetPr>
  <dimension ref="A1:I35"/>
  <sheetViews>
    <sheetView showGridLines="0" workbookViewId="0">
      <selection activeCell="A1" sqref="A1"/>
    </sheetView>
  </sheetViews>
  <sheetFormatPr baseColWidth="8" defaultRowHeight="15"/>
  <cols>
    <col width="3" customWidth="1" min="1" max="1"/>
    <col width="22" customWidth="1" min="2" max="2"/>
    <col width="14" customWidth="1" min="3" max="3"/>
    <col width="14" customWidth="1" min="4" max="4"/>
    <col width="14" customWidth="1" min="5" max="5"/>
    <col width="14" customWidth="1" min="6" max="6"/>
    <col width="14" customWidth="1" min="7" max="7"/>
    <col width="14" customWidth="1" min="8" max="8"/>
  </cols>
  <sheetData>
    <row r="1" ht="10" customHeight="1">
      <c r="A1" s="1" t="n"/>
      <c r="B1" s="1" t="n"/>
      <c r="C1" s="1" t="n"/>
      <c r="D1" s="1" t="n"/>
      <c r="E1" s="1" t="n"/>
      <c r="F1" s="1" t="n"/>
      <c r="G1" s="1" t="n"/>
      <c r="H1" s="1" t="n"/>
    </row>
    <row r="2" ht="46" customHeight="1">
      <c r="A2" s="1" t="n"/>
      <c r="B2" s="1" t="n"/>
      <c r="C2" s="1" t="n"/>
      <c r="D2" s="1" t="n"/>
      <c r="E2" s="1" t="n"/>
      <c r="F2" s="1" t="n"/>
      <c r="G2" s="1" t="n"/>
      <c r="H2" s="1" t="n"/>
    </row>
    <row r="3" ht="10" customHeight="1">
      <c r="A3" s="1" t="n"/>
      <c r="B3" s="1" t="n"/>
      <c r="C3" s="1" t="n"/>
      <c r="D3" s="1" t="n"/>
      <c r="E3" s="1" t="n"/>
      <c r="F3" s="1" t="n"/>
      <c r="G3" s="1" t="n"/>
      <c r="H3" s="1" t="n"/>
    </row>
    <row r="5">
      <c r="B5" s="2" t="inlineStr">
        <is>
          <t>Company Profile — NVIDIA CORP (NVDA)</t>
        </is>
      </c>
    </row>
    <row r="6">
      <c r="B6" s="3" t="inlineStr">
        <is>
          <t>Produced by the L3VLUP Company Profile skill</t>
        </is>
      </c>
    </row>
    <row r="7">
      <c r="B7" s="3" t="inlineStr">
        <is>
          <t>Generated 29 October 2026 at 13:44 UTC</t>
        </is>
      </c>
    </row>
    <row r="9">
      <c r="B9" s="4" t="inlineStr">
        <is>
          <t>What this is</t>
        </is>
      </c>
      <c r="C9" s="5" t="n"/>
      <c r="D9" s="5" t="n"/>
      <c r="E9" s="5" t="n"/>
      <c r="F9" s="5" t="n"/>
      <c r="G9" s="5" t="n"/>
      <c r="H9" s="5" t="n"/>
      <c r="I9" s="5" t="n"/>
    </row>
    <row r="10" ht="39" customHeight="1">
      <c r="B10" s="6" t="inlineStr">
        <is>
          <t>A banker one-pager on NVIDIA CORP: 5 fiscal years of income statement, balance sheet and cash flow exactly as filed, with growth, margins and free cash flow computed live in the workbook so every derived figure can be traced by clicking it. It is the base layer a thesis gets built on, not a thesis.</t>
        </is>
      </c>
    </row>
    <row r="12">
      <c r="B12" s="4" t="inlineStr">
        <is>
          <t>How to read it</t>
        </is>
      </c>
      <c r="C12" s="5" t="n"/>
      <c r="D12" s="5" t="n"/>
      <c r="E12" s="5" t="n"/>
      <c r="F12" s="5" t="n"/>
      <c r="G12" s="5" t="n"/>
      <c r="H12" s="5" t="n"/>
      <c r="I12" s="5" t="n"/>
    </row>
    <row r="13" ht="14" customHeight="1">
      <c r="B13" s="6" t="inlineStr">
        <is>
          <t>BLUE  —  a hard input, or a value pulled straight from a filing. Something a human can change.</t>
        </is>
      </c>
    </row>
    <row r="14" ht="14" customHeight="1">
      <c r="B14" s="6" t="inlineStr">
        <is>
          <t>BLACK  —  a formula computed inside this workbook. Do not overtype it.</t>
        </is>
      </c>
    </row>
    <row r="15" ht="14" customHeight="1">
      <c r="B15" s="6" t="inlineStr">
        <is>
          <t>GREEN  —  a link to another sheet in this workbook.</t>
        </is>
      </c>
    </row>
    <row r="16" ht="14" customHeight="1">
      <c r="B16" s="6" t="inlineStr">
        <is>
          <t>RED FILL  —  a tie-out that failed. Investigate before using the workbook.</t>
        </is>
      </c>
    </row>
    <row r="17" ht="14" customHeight="1">
      <c r="B17" s="6" t="inlineStr">
        <is>
          <t>AN EM DASH  —  the filer did not tag that line. It does not mean zero.</t>
        </is>
      </c>
    </row>
    <row r="18" ht="14" customHeight="1">
      <c r="B18" s="6" t="inlineStr">
        <is>
          <t>Every [n] marker beside a row resolves on the Sources tab to a tag, a period, a form and an accession number.</t>
        </is>
      </c>
    </row>
    <row r="20">
      <c r="B20" s="4" t="inlineStr">
        <is>
          <t>Where the numbers come from</t>
        </is>
      </c>
      <c r="C20" s="5" t="n"/>
      <c r="D20" s="5" t="n"/>
      <c r="E20" s="5" t="n"/>
      <c r="F20" s="5" t="n"/>
      <c r="G20" s="5" t="n"/>
      <c r="H20" s="5" t="n"/>
      <c r="I20" s="5" t="n"/>
    </row>
    <row r="21" ht="39" customHeight="1">
      <c r="B21" s="6" t="inlineStr">
        <is>
          <t>Every historic figure is taken from NVDA’s own XBRL tags in its SEC filings (CIK 0001045810), preferring the original annual report for each year over a later filing’s restated comparative. Where the filer did not tag a line, the workbook shows an em dash rather than a zero or an estimate.</t>
        </is>
      </c>
    </row>
    <row r="23">
      <c r="B23" s="7" t="inlineStr">
        <is>
          <t>Important notices</t>
        </is>
      </c>
      <c r="C23" s="5" t="n"/>
      <c r="D23" s="5" t="n"/>
      <c r="E23" s="5" t="n"/>
      <c r="F23" s="5" t="n"/>
      <c r="G23" s="5" t="n"/>
      <c r="H23" s="5" t="n"/>
      <c r="I23" s="5" t="n"/>
    </row>
    <row r="24" ht="39" customHeight="1">
      <c r="B24" s="8" t="inlineStr">
        <is>
          <t>EDUCATIONAL USE ONLY. This workbook is produced by L3VLUP as a training and learning aid. It is not investment research, not a recommendation, and not an offer or solicitation to buy or sell any security or financial instrument.</t>
        </is>
      </c>
    </row>
    <row r="25" ht="39" customHeight="1">
      <c r="B25" s="8" t="inlineStr">
        <is>
          <t>NOT INVESTMENT, LEGAL, TAX OR ACCOUNTING ADVICE. Nothing in this file constitutes advice of any kind and it takes no account of the objectives, financial situation or needs of any person. Obtain advice from a suitably qualified and regulated professional before acting on anything here.</t>
        </is>
      </c>
    </row>
    <row r="26" ht="52" customHeight="1">
      <c r="B26" s="8" t="inlineStr">
        <is>
          <t>NO RELIANCE. The figures are assembled automatically from third-party filings and may be incomplete, mis-tagged at source, superseded by a later restatement, or wrong. Independently verify every figure against the underlying filing — which is why each one is linked — before relying on it for any purpose. Past performance is not a guide to future performance.</t>
        </is>
      </c>
    </row>
    <row r="27" ht="26" customHeight="1">
      <c r="B27" s="8" t="inlineStr">
        <is>
          <t>NO WARRANTY. This workbook is provided “as is” and “as available”, without warranty of any kind, express or implied, including any warranty of accuracy, completeness, merchantability or fitness for a particular purpose.</t>
        </is>
      </c>
    </row>
    <row r="28" ht="65" customHeight="1">
      <c r="B28" s="8" t="inlineStr">
        <is>
          <t>LIMITATION OF LIABILITY. To the fullest extent permitted by law, L3VLUP and its officers, employees and contributors accept no liability for any loss or damage — including any direct, indirect, incidental, consequential or economic loss, loss of profit, or loss of data — arising out of or in connection with the use of, or reliance on, this workbook or anything in it. Nothing in this notice limits or excludes any liability that cannot lawfully be limited or excluded.</t>
        </is>
      </c>
    </row>
    <row r="29" ht="52" customHeight="1">
      <c r="B29" s="8" t="inlineStr">
        <is>
          <t>THIRD-PARTY DATA. Filing data originates from the U.S. Securities and Exchange Commission’s EDGAR system and is in the public domain. The SEC does not endorse, sponsor or verify this workbook. Any figures you enter yourself remain governed by the terms of whichever data provider supplied them, and it is your responsibility to hold the necessary licence for them.</t>
        </is>
      </c>
    </row>
    <row r="31">
      <c r="B31" s="4" t="inlineStr">
        <is>
          <t>Copyright</t>
        </is>
      </c>
      <c r="C31" s="5" t="n"/>
      <c r="D31" s="5" t="n"/>
      <c r="E31" s="5" t="n"/>
      <c r="F31" s="5" t="n"/>
      <c r="G31" s="5" t="n"/>
      <c r="H31" s="5" t="n"/>
      <c r="I31" s="5" t="n"/>
    </row>
    <row r="32" ht="14" customHeight="1">
      <c r="B32" s="6" t="inlineStr">
        <is>
          <t>© 2026 L3VLUP. All rights reserved.</t>
        </is>
      </c>
    </row>
    <row r="33" ht="52" customHeight="1">
      <c r="B33" s="6" t="inlineStr">
        <is>
          <t>The structure, layout, formulas, wording and conventions of this workbook are the property of L3VLUP. It is licensed to the named recipient for their own personal study and professional work. You may not resell it, redistribute it, publish it, or use it to build or train a competing product or dataset, in whole or in part, without prior written permission.</t>
        </is>
      </c>
    </row>
    <row r="34" ht="14" customHeight="1">
      <c r="B34" s="6" t="inlineStr">
        <is>
          <t>Underlying filing data is public domain and is not claimed as L3VLUP property.</t>
        </is>
      </c>
    </row>
    <row r="35" ht="14" customHeight="1">
      <c r="B35" s="6" t="inlineStr">
        <is>
          <t>l3vlup.com  ·  l3vlup.com/skills/company-profile</t>
        </is>
      </c>
    </row>
  </sheetData>
  <mergeCells count="18">
    <mergeCell ref="B14:H14"/>
    <mergeCell ref="B32:H32"/>
    <mergeCell ref="B17:H17"/>
    <mergeCell ref="B18:H18"/>
    <mergeCell ref="B13:H13"/>
    <mergeCell ref="B26:H26"/>
    <mergeCell ref="B27:H27"/>
    <mergeCell ref="B21:H21"/>
    <mergeCell ref="B35:H35"/>
    <mergeCell ref="B24:H24"/>
    <mergeCell ref="B16:H16"/>
    <mergeCell ref="B15:H15"/>
    <mergeCell ref="B10:H10"/>
    <mergeCell ref="B25:H25"/>
    <mergeCell ref="B29:H29"/>
    <mergeCell ref="B33:H33"/>
    <mergeCell ref="B34:H34"/>
    <mergeCell ref="B28:H28"/>
  </mergeCells>
  <pageMargins left="0.75" right="0.75" top="1" bottom="1" header="0.5" footer="0.5"/>
  <pageSetup orientation="portrait"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J38"/>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3" customWidth="1" min="1" max="1"/>
    <col width="38" customWidth="1" min="2" max="2"/>
    <col width="1.7" customWidth="1" min="3" max="3"/>
    <col width="13" customWidth="1" min="4" max="4"/>
    <col width="13" customWidth="1" min="5" max="5"/>
    <col width="13" customWidth="1" min="6" max="6"/>
    <col width="13" customWidth="1" min="7" max="7"/>
    <col width="13" customWidth="1" min="8" max="8"/>
    <col width="1.7" customWidth="1" min="9" max="9"/>
    <col width="10" customWidth="1" min="10" max="10"/>
  </cols>
  <sheetData>
    <row r="1" ht="6" customHeight="1">
      <c r="A1" s="1" t="n"/>
      <c r="B1" s="1" t="n"/>
      <c r="C1" s="1" t="n"/>
      <c r="D1" s="1" t="n"/>
      <c r="E1" s="1" t="n"/>
      <c r="F1" s="1" t="n"/>
      <c r="G1" s="1" t="n"/>
      <c r="H1" s="1" t="n"/>
      <c r="I1" s="1" t="n"/>
      <c r="J1" s="1" t="n"/>
    </row>
    <row r="2" ht="26" customHeight="1">
      <c r="A2" s="1" t="n"/>
      <c r="B2" s="1" t="n"/>
      <c r="C2" s="1" t="n"/>
      <c r="D2" s="1" t="n"/>
      <c r="E2" s="1" t="n"/>
      <c r="F2" s="1" t="n"/>
      <c r="G2" s="1" t="n"/>
      <c r="H2" s="1" t="n"/>
      <c r="I2" s="1" t="n"/>
      <c r="J2" s="1" t="n"/>
    </row>
    <row r="3" ht="6" customHeight="1">
      <c r="A3" s="1" t="n"/>
      <c r="B3" s="1" t="n"/>
      <c r="C3" s="1" t="n"/>
      <c r="D3" s="1" t="n"/>
      <c r="E3" s="1" t="n"/>
      <c r="F3" s="1" t="n"/>
      <c r="G3" s="1" t="n"/>
      <c r="H3" s="1" t="n"/>
      <c r="I3" s="1" t="n"/>
      <c r="J3" s="1" t="n"/>
    </row>
    <row r="4">
      <c r="B4" s="9" t="inlineStr">
        <is>
          <t>NVIDIA CORP (NVDA)</t>
        </is>
      </c>
    </row>
    <row r="5">
      <c r="B5" s="10" t="inlineStr">
        <is>
          <t>Company profile</t>
        </is>
      </c>
    </row>
    <row r="6">
      <c r="B6" s="11" t="inlineStr">
        <is>
          <t>Source: SEC EDGAR XBRL company facts · CIK 0001045810 · filings only</t>
        </is>
      </c>
    </row>
    <row r="7">
      <c r="B7" s="11" t="inlineStr">
        <is>
          <t>($ in millions, except per share)</t>
        </is>
      </c>
      <c r="D7" s="12" t="inlineStr">
        <is>
          <t>For Fiscal Year Ending</t>
        </is>
      </c>
    </row>
    <row r="8">
      <c r="D8" s="13" t="inlineStr">
        <is>
          <t>FY2022</t>
        </is>
      </c>
      <c r="E8" s="13" t="inlineStr">
        <is>
          <t>FY2023</t>
        </is>
      </c>
      <c r="F8" s="13" t="inlineStr">
        <is>
          <t>FY2024</t>
        </is>
      </c>
      <c r="G8" s="13" t="inlineStr">
        <is>
          <t>FY2025</t>
        </is>
      </c>
      <c r="H8" s="13" t="inlineStr">
        <is>
          <t>FY2026</t>
        </is>
      </c>
      <c r="J8" s="14" t="inlineStr">
        <is>
          <t>Src</t>
        </is>
      </c>
    </row>
    <row r="9">
      <c r="B9" s="4" t="inlineStr">
        <is>
          <t>Scale</t>
        </is>
      </c>
      <c r="D9" s="5" t="n"/>
      <c r="E9" s="5" t="n"/>
      <c r="F9" s="5" t="n"/>
      <c r="G9" s="5" t="n"/>
      <c r="H9" s="5" t="n"/>
    </row>
    <row r="10">
      <c r="B10" s="15" t="inlineStr">
        <is>
          <t>Revenue</t>
        </is>
      </c>
      <c r="D10" s="16" t="n">
        <v>26914000000</v>
      </c>
      <c r="E10" s="16" t="n">
        <v>26974000000</v>
      </c>
      <c r="F10" s="16" t="n">
        <v>60922000000</v>
      </c>
      <c r="G10" s="16" t="n">
        <v>130497000000</v>
      </c>
      <c r="H10" s="16" t="n">
        <v>215938000000</v>
      </c>
      <c r="J10" s="17" t="inlineStr">
        <is>
          <t>[1][2][3][4][5]</t>
        </is>
      </c>
    </row>
    <row r="11">
      <c r="B11" s="3" t="inlineStr">
        <is>
          <t xml:space="preserve">    % growth</t>
        </is>
      </c>
      <c r="D11" s="18" t="inlineStr">
        <is>
          <t>—</t>
        </is>
      </c>
      <c r="E11" s="19">
        <f>IFERROR(E10/D10-1,"")</f>
        <v/>
      </c>
      <c r="F11" s="19">
        <f>IFERROR(F10/E10-1,"")</f>
        <v/>
      </c>
      <c r="G11" s="19">
        <f>IFERROR(G10/F10-1,"")</f>
        <v/>
      </c>
      <c r="H11" s="19">
        <f>IFERROR(H10/G10-1,"")</f>
        <v/>
      </c>
    </row>
    <row r="12">
      <c r="B12" s="15" t="inlineStr">
        <is>
          <t>Gross profit</t>
        </is>
      </c>
      <c r="D12" s="16" t="n">
        <v>17475000000</v>
      </c>
      <c r="E12" s="16" t="n">
        <v>15356000000</v>
      </c>
      <c r="F12" s="16" t="n">
        <v>44301000000</v>
      </c>
      <c r="G12" s="16" t="n">
        <v>97858000000</v>
      </c>
      <c r="H12" s="16" t="n">
        <v>153463000000</v>
      </c>
      <c r="J12" s="17" t="inlineStr">
        <is>
          <t>[6][7][8][9][10]</t>
        </is>
      </c>
    </row>
    <row r="13">
      <c r="B13" s="3" t="inlineStr">
        <is>
          <t xml:space="preserve">    % margin</t>
        </is>
      </c>
      <c r="D13" s="19">
        <f>IFERROR(D12/D10,"")</f>
        <v/>
      </c>
      <c r="E13" s="19">
        <f>IFERROR(E12/E10,"")</f>
        <v/>
      </c>
      <c r="F13" s="19">
        <f>IFERROR(F12/F10,"")</f>
        <v/>
      </c>
      <c r="G13" s="19">
        <f>IFERROR(G12/G10,"")</f>
        <v/>
      </c>
      <c r="H13" s="19">
        <f>IFERROR(H12/H10,"")</f>
        <v/>
      </c>
    </row>
    <row r="14">
      <c r="B14" s="15" t="inlineStr">
        <is>
          <t>Operating income</t>
        </is>
      </c>
      <c r="D14" s="16" t="n">
        <v>10041000000</v>
      </c>
      <c r="E14" s="16" t="n">
        <v>4224000000</v>
      </c>
      <c r="F14" s="16" t="n">
        <v>32972000000</v>
      </c>
      <c r="G14" s="16" t="n">
        <v>81453000000</v>
      </c>
      <c r="H14" s="16" t="n">
        <v>130387000000</v>
      </c>
      <c r="J14" s="17" t="inlineStr">
        <is>
          <t>[11][12][13][14][15]</t>
        </is>
      </c>
    </row>
    <row r="15">
      <c r="B15" s="3" t="inlineStr">
        <is>
          <t xml:space="preserve">    % margin</t>
        </is>
      </c>
      <c r="D15" s="19">
        <f>IFERROR(D14/D10,"")</f>
        <v/>
      </c>
      <c r="E15" s="19">
        <f>IFERROR(E14/E10,"")</f>
        <v/>
      </c>
      <c r="F15" s="19">
        <f>IFERROR(F14/F10,"")</f>
        <v/>
      </c>
      <c r="G15" s="19">
        <f>IFERROR(G14/G10,"")</f>
        <v/>
      </c>
      <c r="H15" s="19">
        <f>IFERROR(H14/H10,"")</f>
        <v/>
      </c>
    </row>
    <row r="16">
      <c r="B16" s="15" t="inlineStr">
        <is>
          <t>Net income</t>
        </is>
      </c>
      <c r="D16" s="16" t="n">
        <v>9752000000</v>
      </c>
      <c r="E16" s="16" t="n">
        <v>4368000000</v>
      </c>
      <c r="F16" s="16" t="n">
        <v>29760000000</v>
      </c>
      <c r="G16" s="16" t="n">
        <v>72880000000</v>
      </c>
      <c r="H16" s="16" t="n">
        <v>120067000000</v>
      </c>
      <c r="J16" s="17" t="inlineStr">
        <is>
          <t>[16][17][18][19][20]</t>
        </is>
      </c>
    </row>
    <row r="17">
      <c r="B17" s="3" t="inlineStr">
        <is>
          <t xml:space="preserve">    % margin</t>
        </is>
      </c>
      <c r="D17" s="19">
        <f>IFERROR(D16/D10,"")</f>
        <v/>
      </c>
      <c r="E17" s="19">
        <f>IFERROR(E16/E10,"")</f>
        <v/>
      </c>
      <c r="F17" s="19">
        <f>IFERROR(F16/F10,"")</f>
        <v/>
      </c>
      <c r="G17" s="19">
        <f>IFERROR(G16/G10,"")</f>
        <v/>
      </c>
      <c r="H17" s="19">
        <f>IFERROR(H16/H10,"")</f>
        <v/>
      </c>
    </row>
    <row r="19">
      <c r="B19" s="4" t="inlineStr">
        <is>
          <t>Per share</t>
        </is>
      </c>
      <c r="D19" s="5" t="n"/>
      <c r="E19" s="5" t="n"/>
      <c r="F19" s="5" t="n"/>
      <c r="G19" s="5" t="n"/>
      <c r="H19" s="5" t="n"/>
    </row>
    <row r="20">
      <c r="B20" s="15" t="inlineStr">
        <is>
          <t>Diluted EPS</t>
        </is>
      </c>
      <c r="D20" s="20" t="n">
        <v>3.85</v>
      </c>
      <c r="E20" s="20" t="n">
        <v>1.74</v>
      </c>
      <c r="F20" s="20" t="n">
        <v>11.93</v>
      </c>
      <c r="G20" s="20" t="n">
        <v>2.94</v>
      </c>
      <c r="H20" s="20" t="n">
        <v>4.9</v>
      </c>
      <c r="J20" s="17" t="inlineStr">
        <is>
          <t>[21][22][23][24][25]</t>
        </is>
      </c>
    </row>
    <row r="21">
      <c r="B21" s="15" t="inlineStr">
        <is>
          <t>Diluted shares outstanding</t>
        </is>
      </c>
      <c r="D21" s="21" t="n">
        <v>2535000000</v>
      </c>
      <c r="E21" s="21" t="n">
        <v>2507000000</v>
      </c>
      <c r="F21" s="21" t="n">
        <v>2494000000</v>
      </c>
      <c r="G21" s="21" t="n">
        <v>24804000000</v>
      </c>
      <c r="H21" s="21" t="n">
        <v>24514000000</v>
      </c>
      <c r="J21" s="17" t="inlineStr">
        <is>
          <t>[26][27][28][29][30]</t>
        </is>
      </c>
    </row>
    <row r="23">
      <c r="B23" s="4" t="inlineStr">
        <is>
          <t>Cash generation</t>
        </is>
      </c>
      <c r="D23" s="5" t="n"/>
      <c r="E23" s="5" t="n"/>
      <c r="F23" s="5" t="n"/>
      <c r="G23" s="5" t="n"/>
      <c r="H23" s="5" t="n"/>
    </row>
    <row r="24">
      <c r="B24" s="15" t="inlineStr">
        <is>
          <t>Cash from operations</t>
        </is>
      </c>
      <c r="D24" s="16" t="n">
        <v>9108000000</v>
      </c>
      <c r="E24" s="16" t="n">
        <v>5641000000</v>
      </c>
      <c r="F24" s="16" t="n">
        <v>28090000000</v>
      </c>
      <c r="G24" s="16" t="n">
        <v>64089000000</v>
      </c>
      <c r="H24" s="16" t="n">
        <v>102718000000</v>
      </c>
      <c r="J24" s="17" t="inlineStr">
        <is>
          <t>[31][32][33][34][35]</t>
        </is>
      </c>
    </row>
    <row r="25">
      <c r="B25" s="15" t="inlineStr">
        <is>
          <t>Capital expenditure</t>
        </is>
      </c>
      <c r="D25" s="16" t="n">
        <v>976000000</v>
      </c>
      <c r="E25" s="16" t="n">
        <v>1833000000</v>
      </c>
      <c r="F25" s="16" t="n">
        <v>1069000000</v>
      </c>
      <c r="G25" s="16" t="n">
        <v>3236000000</v>
      </c>
      <c r="H25" s="16" t="n">
        <v>6042000000</v>
      </c>
      <c r="J25" s="17" t="inlineStr">
        <is>
          <t>[36][37][38][39][40]</t>
        </is>
      </c>
    </row>
    <row r="26">
      <c r="B26" s="22" t="inlineStr">
        <is>
          <t>Free cash flow</t>
        </is>
      </c>
      <c r="D26" s="23">
        <f>IFERROR(D24-D25,"")</f>
        <v/>
      </c>
      <c r="E26" s="23">
        <f>IFERROR(E24-E25,"")</f>
        <v/>
      </c>
      <c r="F26" s="23">
        <f>IFERROR(F24-F25,"")</f>
        <v/>
      </c>
      <c r="G26" s="23">
        <f>IFERROR(G24-G25,"")</f>
        <v/>
      </c>
      <c r="H26" s="23">
        <f>IFERROR(H24-H25,"")</f>
        <v/>
      </c>
    </row>
    <row r="27">
      <c r="B27" s="3" t="inlineStr">
        <is>
          <t xml:space="preserve">    % of revenue</t>
        </is>
      </c>
      <c r="D27" s="19">
        <f>IFERROR(D26/D10,"")</f>
        <v/>
      </c>
      <c r="E27" s="19">
        <f>IFERROR(E26/E10,"")</f>
        <v/>
      </c>
      <c r="F27" s="19">
        <f>IFERROR(F26/F10,"")</f>
        <v/>
      </c>
      <c r="G27" s="19">
        <f>IFERROR(G26/G10,"")</f>
        <v/>
      </c>
      <c r="H27" s="19">
        <f>IFERROR(H26/H10,"")</f>
        <v/>
      </c>
    </row>
    <row r="29">
      <c r="B29" s="4" t="inlineStr">
        <is>
          <t>Balance sheet</t>
        </is>
      </c>
      <c r="D29" s="5" t="n"/>
      <c r="E29" s="5" t="n"/>
      <c r="F29" s="5" t="n"/>
      <c r="G29" s="5" t="n"/>
      <c r="H29" s="5" t="n"/>
    </row>
    <row r="30">
      <c r="B30" s="15" t="inlineStr">
        <is>
          <t>Cash and equivalents</t>
        </is>
      </c>
      <c r="D30" s="16" t="n">
        <v>1990000000</v>
      </c>
      <c r="E30" s="16" t="n">
        <v>3389000000</v>
      </c>
      <c r="F30" s="16" t="n">
        <v>7280000000</v>
      </c>
      <c r="G30" s="16" t="n">
        <v>8589000000</v>
      </c>
      <c r="H30" s="16" t="n">
        <v>10605000000</v>
      </c>
      <c r="J30" s="17" t="inlineStr">
        <is>
          <t>[41][42][43][44][45]</t>
        </is>
      </c>
    </row>
    <row r="31">
      <c r="B31" s="15" t="inlineStr">
        <is>
          <t>Short-term investments</t>
        </is>
      </c>
      <c r="D31" s="16" t="n">
        <v>19218000000</v>
      </c>
      <c r="E31" s="16" t="n">
        <v>9907000000</v>
      </c>
      <c r="F31" s="16" t="n">
        <v>18704000000</v>
      </c>
      <c r="G31" s="16" t="n">
        <v>34621000000</v>
      </c>
      <c r="H31" s="24" t="inlineStr">
        <is>
          <t>—</t>
        </is>
      </c>
      <c r="J31" s="17" t="inlineStr">
        <is>
          <t>[46][47][48][49]</t>
        </is>
      </c>
    </row>
    <row r="32">
      <c r="B32" s="15" t="inlineStr">
        <is>
          <t>Total debt</t>
        </is>
      </c>
      <c r="D32" s="16" t="n">
        <v>10946000000</v>
      </c>
      <c r="E32" s="16" t="n">
        <v>12203000000</v>
      </c>
      <c r="F32" s="16" t="n">
        <v>10959000000</v>
      </c>
      <c r="G32" s="16" t="n">
        <v>8463000000</v>
      </c>
      <c r="H32" s="16" t="n">
        <v>9467000000</v>
      </c>
      <c r="J32" s="17" t="inlineStr">
        <is>
          <t>[50][51][52][53][54]</t>
        </is>
      </c>
    </row>
    <row r="33">
      <c r="B33" s="22" t="inlineStr">
        <is>
          <t>Net debt / (net cash)</t>
        </is>
      </c>
      <c r="D33" s="25" t="n">
        <v>-10262000000</v>
      </c>
      <c r="E33" s="25" t="n">
        <v>-1093000000</v>
      </c>
      <c r="F33" s="25" t="n">
        <v>-15025000000</v>
      </c>
      <c r="G33" s="25" t="n">
        <v>-34747000000</v>
      </c>
      <c r="H33" s="25" t="n">
        <v>-1138000000</v>
      </c>
      <c r="J33" s="17" t="inlineStr">
        <is>
          <t>[55][56][57][58][59]</t>
        </is>
      </c>
    </row>
    <row r="34">
      <c r="B34" s="15" t="inlineStr">
        <is>
          <t>Total shareholders' equity</t>
        </is>
      </c>
      <c r="D34" s="16" t="n">
        <v>26612000000</v>
      </c>
      <c r="E34" s="16" t="n">
        <v>22101000000</v>
      </c>
      <c r="F34" s="16" t="n">
        <v>42978000000</v>
      </c>
      <c r="G34" s="16" t="n">
        <v>79327000000</v>
      </c>
      <c r="H34" s="16" t="n">
        <v>157293000000</v>
      </c>
      <c r="J34" s="17" t="inlineStr">
        <is>
          <t>[60][61][62][63][64]</t>
        </is>
      </c>
    </row>
    <row r="36">
      <c r="B36" s="26" t="inlineStr">
        <is>
          <t>Blue = value as tagged in the filing. Black = formula computed in this workbook.</t>
        </is>
      </c>
    </row>
    <row r="37">
      <c r="B37" s="26" t="inlineStr">
        <is>
          <t>An em dash means the filer did not tag that line. It does not mean zero.</t>
        </is>
      </c>
    </row>
    <row r="38">
      <c r="B38" s="26" t="inlineStr">
        <is>
          <t>Not tagged by this filer: minority_interest</t>
        </is>
      </c>
    </row>
  </sheetData>
  <pageMargins left="0.75" right="0.75" top="1" bottom="1" header="0.5" footer="0.5"/>
  <pageSetup orientation="landscape" fitToHeight="0" fitToWidth="1"/>
  <headerFooter>
    <oddHeader/>
    <oddFooter>&amp;L&amp;8 &amp;K808080L3VLUP&amp;R&amp;8 &amp;K808080Page &amp;P of &amp;N — see Cover for notices</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J22"/>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3" customWidth="1" min="1" max="1"/>
    <col width="38" customWidth="1" min="2" max="2"/>
    <col width="1.7" customWidth="1" min="3" max="3"/>
    <col width="13" customWidth="1" min="4" max="4"/>
    <col width="13" customWidth="1" min="5" max="5"/>
    <col width="13" customWidth="1" min="6" max="6"/>
    <col width="13" customWidth="1" min="7" max="7"/>
    <col width="13" customWidth="1" min="8" max="8"/>
    <col width="1.7" customWidth="1" min="9" max="9"/>
    <col width="10" customWidth="1" min="10" max="10"/>
  </cols>
  <sheetData>
    <row r="1" ht="6" customHeight="1">
      <c r="A1" s="1" t="n"/>
      <c r="B1" s="1" t="n"/>
      <c r="C1" s="1" t="n"/>
      <c r="D1" s="1" t="n"/>
      <c r="E1" s="1" t="n"/>
      <c r="F1" s="1" t="n"/>
      <c r="G1" s="1" t="n"/>
      <c r="H1" s="1" t="n"/>
      <c r="I1" s="1" t="n"/>
      <c r="J1" s="1" t="n"/>
    </row>
    <row r="2" ht="26" customHeight="1">
      <c r="A2" s="1" t="n"/>
      <c r="B2" s="1" t="n"/>
      <c r="C2" s="1" t="n"/>
      <c r="D2" s="1" t="n"/>
      <c r="E2" s="1" t="n"/>
      <c r="F2" s="1" t="n"/>
      <c r="G2" s="1" t="n"/>
      <c r="H2" s="1" t="n"/>
      <c r="I2" s="1" t="n"/>
      <c r="J2" s="1" t="n"/>
    </row>
    <row r="3" ht="6" customHeight="1">
      <c r="A3" s="1" t="n"/>
      <c r="B3" s="1" t="n"/>
      <c r="C3" s="1" t="n"/>
      <c r="D3" s="1" t="n"/>
      <c r="E3" s="1" t="n"/>
      <c r="F3" s="1" t="n"/>
      <c r="G3" s="1" t="n"/>
      <c r="H3" s="1" t="n"/>
      <c r="I3" s="1" t="n"/>
      <c r="J3" s="1" t="n"/>
    </row>
    <row r="4">
      <c r="B4" s="9" t="inlineStr">
        <is>
          <t>NVIDIA CORP (NVDA)</t>
        </is>
      </c>
    </row>
    <row r="5">
      <c r="B5" s="10" t="inlineStr">
        <is>
          <t>Income statement</t>
        </is>
      </c>
    </row>
    <row r="6">
      <c r="B6" s="11" t="inlineStr">
        <is>
          <t>As reported in the filings — original filing preferred over a later restatement's comparative</t>
        </is>
      </c>
    </row>
    <row r="7">
      <c r="B7" s="11" t="inlineStr">
        <is>
          <t>($ in millions, except per share)</t>
        </is>
      </c>
      <c r="D7" s="12" t="inlineStr">
        <is>
          <t>For Fiscal Year Ending</t>
        </is>
      </c>
    </row>
    <row r="8">
      <c r="D8" s="13" t="inlineStr">
        <is>
          <t>FY2022</t>
        </is>
      </c>
      <c r="E8" s="13" t="inlineStr">
        <is>
          <t>FY2023</t>
        </is>
      </c>
      <c r="F8" s="13" t="inlineStr">
        <is>
          <t>FY2024</t>
        </is>
      </c>
      <c r="G8" s="13" t="inlineStr">
        <is>
          <t>FY2025</t>
        </is>
      </c>
      <c r="H8" s="13" t="inlineStr">
        <is>
          <t>FY2026</t>
        </is>
      </c>
      <c r="J8" s="14" t="inlineStr">
        <is>
          <t>Src</t>
        </is>
      </c>
    </row>
    <row r="9">
      <c r="B9" s="22" t="inlineStr">
        <is>
          <t>Revenue</t>
        </is>
      </c>
      <c r="D9" s="25" t="n">
        <v>26914000000</v>
      </c>
      <c r="E9" s="25" t="n">
        <v>26974000000</v>
      </c>
      <c r="F9" s="25" t="n">
        <v>60922000000</v>
      </c>
      <c r="G9" s="25" t="n">
        <v>130497000000</v>
      </c>
      <c r="H9" s="25" t="n">
        <v>215938000000</v>
      </c>
      <c r="J9" s="17" t="inlineStr">
        <is>
          <t>[1][2][3][4][5]</t>
        </is>
      </c>
    </row>
    <row r="10">
      <c r="B10" s="3" t="inlineStr">
        <is>
          <t xml:space="preserve">    % growth</t>
        </is>
      </c>
      <c r="D10" s="18" t="inlineStr">
        <is>
          <t>—</t>
        </is>
      </c>
      <c r="E10" s="19">
        <f>IFERROR(E9/D9-1,"")</f>
        <v/>
      </c>
      <c r="F10" s="19">
        <f>IFERROR(F9/E9-1,"")</f>
        <v/>
      </c>
      <c r="G10" s="19">
        <f>IFERROR(G9/F9-1,"")</f>
        <v/>
      </c>
      <c r="H10" s="19">
        <f>IFERROR(H9/G9-1,"")</f>
        <v/>
      </c>
    </row>
    <row r="11">
      <c r="B11" s="15" t="inlineStr">
        <is>
          <t>Cost of revenue</t>
        </is>
      </c>
      <c r="D11" s="16" t="n">
        <v>9439000000</v>
      </c>
      <c r="E11" s="16" t="n">
        <v>11618000000</v>
      </c>
      <c r="F11" s="16" t="n">
        <v>16621000000</v>
      </c>
      <c r="G11" s="16" t="n">
        <v>32639000000</v>
      </c>
      <c r="H11" s="16" t="n">
        <v>62475000000</v>
      </c>
      <c r="J11" s="17" t="inlineStr">
        <is>
          <t>[65][66][67][68][69]</t>
        </is>
      </c>
    </row>
    <row r="12">
      <c r="B12" s="22" t="inlineStr">
        <is>
          <t>Gross profit</t>
        </is>
      </c>
      <c r="D12" s="25" t="n">
        <v>17475000000</v>
      </c>
      <c r="E12" s="25" t="n">
        <v>15356000000</v>
      </c>
      <c r="F12" s="25" t="n">
        <v>44301000000</v>
      </c>
      <c r="G12" s="25" t="n">
        <v>97858000000</v>
      </c>
      <c r="H12" s="25" t="n">
        <v>153463000000</v>
      </c>
      <c r="J12" s="17" t="inlineStr">
        <is>
          <t>[6][7][8][9][10]</t>
        </is>
      </c>
    </row>
    <row r="13">
      <c r="B13" s="3" t="inlineStr">
        <is>
          <t xml:space="preserve">    % margin</t>
        </is>
      </c>
      <c r="D13" s="19">
        <f>IFERROR(D12/D9,"")</f>
        <v/>
      </c>
      <c r="E13" s="19">
        <f>IFERROR(E12/E9,"")</f>
        <v/>
      </c>
      <c r="F13" s="19">
        <f>IFERROR(F12/F9,"")</f>
        <v/>
      </c>
      <c r="G13" s="19">
        <f>IFERROR(G12/G9,"")</f>
        <v/>
      </c>
      <c r="H13" s="19">
        <f>IFERROR(H12/H9,"")</f>
        <v/>
      </c>
    </row>
    <row r="14">
      <c r="B14" s="15" t="inlineStr">
        <is>
          <t>Research and development</t>
        </is>
      </c>
      <c r="D14" s="16" t="n">
        <v>5268000000</v>
      </c>
      <c r="E14" s="16" t="n">
        <v>7339000000</v>
      </c>
      <c r="F14" s="16" t="n">
        <v>8675000000</v>
      </c>
      <c r="G14" s="16" t="n">
        <v>12914000000</v>
      </c>
      <c r="H14" s="16" t="n">
        <v>18497000000</v>
      </c>
      <c r="J14" s="17" t="inlineStr">
        <is>
          <t>[70][71][72][73][74]</t>
        </is>
      </c>
    </row>
    <row r="15">
      <c r="B15" s="15" t="inlineStr">
        <is>
          <t>Selling, general and administrative</t>
        </is>
      </c>
      <c r="D15" s="16" t="n">
        <v>2166000000</v>
      </c>
      <c r="E15" s="16" t="n">
        <v>2440000000</v>
      </c>
      <c r="F15" s="16" t="n">
        <v>2654000000</v>
      </c>
      <c r="G15" s="16" t="n">
        <v>3491000000</v>
      </c>
      <c r="H15" s="16" t="n">
        <v>4579000000</v>
      </c>
      <c r="J15" s="17" t="inlineStr">
        <is>
          <t>[75][76][77][78][79]</t>
        </is>
      </c>
    </row>
    <row r="16">
      <c r="B16" s="22" t="inlineStr">
        <is>
          <t>Operating income</t>
        </is>
      </c>
      <c r="D16" s="25" t="n">
        <v>10041000000</v>
      </c>
      <c r="E16" s="25" t="n">
        <v>4224000000</v>
      </c>
      <c r="F16" s="25" t="n">
        <v>32972000000</v>
      </c>
      <c r="G16" s="25" t="n">
        <v>81453000000</v>
      </c>
      <c r="H16" s="25" t="n">
        <v>130387000000</v>
      </c>
      <c r="J16" s="17" t="inlineStr">
        <is>
          <t>[11][12][13][14][15]</t>
        </is>
      </c>
    </row>
    <row r="17">
      <c r="B17" s="3" t="inlineStr">
        <is>
          <t xml:space="preserve">    % margin</t>
        </is>
      </c>
      <c r="D17" s="19">
        <f>IFERROR(D16/D9,"")</f>
        <v/>
      </c>
      <c r="E17" s="19">
        <f>IFERROR(E16/E9,"")</f>
        <v/>
      </c>
      <c r="F17" s="19">
        <f>IFERROR(F16/F9,"")</f>
        <v/>
      </c>
      <c r="G17" s="19">
        <f>IFERROR(G16/G9,"")</f>
        <v/>
      </c>
      <c r="H17" s="19">
        <f>IFERROR(H16/H9,"")</f>
        <v/>
      </c>
    </row>
    <row r="18">
      <c r="B18" s="15" t="inlineStr">
        <is>
          <t>Interest expense</t>
        </is>
      </c>
      <c r="D18" s="16" t="n">
        <v>236000000</v>
      </c>
      <c r="E18" s="16" t="n">
        <v>262000000</v>
      </c>
      <c r="F18" s="16" t="n">
        <v>257000000</v>
      </c>
      <c r="G18" s="24" t="inlineStr">
        <is>
          <t>—</t>
        </is>
      </c>
      <c r="H18" s="24" t="inlineStr">
        <is>
          <t>—</t>
        </is>
      </c>
      <c r="J18" s="17" t="inlineStr">
        <is>
          <t>[80][81][82]</t>
        </is>
      </c>
    </row>
    <row r="19">
      <c r="B19" s="15" t="inlineStr">
        <is>
          <t>Pre-tax income</t>
        </is>
      </c>
      <c r="D19" s="16" t="n">
        <v>9941000000</v>
      </c>
      <c r="E19" s="16" t="n">
        <v>4181000000</v>
      </c>
      <c r="F19" s="16" t="n">
        <v>33818000000</v>
      </c>
      <c r="G19" s="16" t="n">
        <v>84026000000</v>
      </c>
      <c r="H19" s="16" t="n">
        <v>141450000000</v>
      </c>
      <c r="J19" s="17" t="inlineStr">
        <is>
          <t>[83][84][85][86][87]</t>
        </is>
      </c>
    </row>
    <row r="20">
      <c r="B20" s="15" t="inlineStr">
        <is>
          <t>Income tax expense</t>
        </is>
      </c>
      <c r="D20" s="16" t="n">
        <v>189000000</v>
      </c>
      <c r="E20" s="16" t="n">
        <v>-187000000</v>
      </c>
      <c r="F20" s="16" t="n">
        <v>4058000000</v>
      </c>
      <c r="G20" s="16" t="n">
        <v>11146000000</v>
      </c>
      <c r="H20" s="16" t="n">
        <v>21383000000</v>
      </c>
      <c r="J20" s="17" t="inlineStr">
        <is>
          <t>[88][89][90][91][92]</t>
        </is>
      </c>
    </row>
    <row r="21">
      <c r="B21" s="22" t="inlineStr">
        <is>
          <t>Net income</t>
        </is>
      </c>
      <c r="D21" s="25" t="n">
        <v>9752000000</v>
      </c>
      <c r="E21" s="25" t="n">
        <v>4368000000</v>
      </c>
      <c r="F21" s="25" t="n">
        <v>29760000000</v>
      </c>
      <c r="G21" s="25" t="n">
        <v>72880000000</v>
      </c>
      <c r="H21" s="25" t="n">
        <v>120067000000</v>
      </c>
      <c r="J21" s="17" t="inlineStr">
        <is>
          <t>[16][17][18][19][20]</t>
        </is>
      </c>
    </row>
    <row r="22">
      <c r="B22" s="3" t="inlineStr">
        <is>
          <t xml:space="preserve">    % margin</t>
        </is>
      </c>
      <c r="D22" s="19">
        <f>IFERROR(D21/D9,"")</f>
        <v/>
      </c>
      <c r="E22" s="19">
        <f>IFERROR(E21/E9,"")</f>
        <v/>
      </c>
      <c r="F22" s="19">
        <f>IFERROR(F21/F9,"")</f>
        <v/>
      </c>
      <c r="G22" s="19">
        <f>IFERROR(G21/G9,"")</f>
        <v/>
      </c>
      <c r="H22" s="19">
        <f>IFERROR(H21/H9,"")</f>
        <v/>
      </c>
    </row>
  </sheetData>
  <pageMargins left="0.75" right="0.75" top="1" bottom="1" header="0.5" footer="0.5"/>
  <pageSetup orientation="landscape" fitToHeight="0" fitToWidth="1"/>
  <headerFooter>
    <oddHeader/>
    <oddFooter>&amp;L&amp;8 &amp;K808080L3VLUP&amp;R&amp;8 &amp;K808080Page &amp;P of &amp;N — see Cover for notices</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J26"/>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3" customWidth="1" min="1" max="1"/>
    <col width="38" customWidth="1" min="2" max="2"/>
    <col width="1.7" customWidth="1" min="3" max="3"/>
    <col width="13" customWidth="1" min="4" max="4"/>
    <col width="13" customWidth="1" min="5" max="5"/>
    <col width="13" customWidth="1" min="6" max="6"/>
    <col width="13" customWidth="1" min="7" max="7"/>
    <col width="13" customWidth="1" min="8" max="8"/>
    <col width="1.7" customWidth="1" min="9" max="9"/>
    <col width="10" customWidth="1" min="10" max="10"/>
  </cols>
  <sheetData>
    <row r="1" ht="6" customHeight="1">
      <c r="A1" s="1" t="n"/>
      <c r="B1" s="1" t="n"/>
      <c r="C1" s="1" t="n"/>
      <c r="D1" s="1" t="n"/>
      <c r="E1" s="1" t="n"/>
      <c r="F1" s="1" t="n"/>
      <c r="G1" s="1" t="n"/>
      <c r="H1" s="1" t="n"/>
      <c r="I1" s="1" t="n"/>
      <c r="J1" s="1" t="n"/>
    </row>
    <row r="2" ht="26" customHeight="1">
      <c r="A2" s="1" t="n"/>
      <c r="B2" s="1" t="n"/>
      <c r="C2" s="1" t="n"/>
      <c r="D2" s="1" t="n"/>
      <c r="E2" s="1" t="n"/>
      <c r="F2" s="1" t="n"/>
      <c r="G2" s="1" t="n"/>
      <c r="H2" s="1" t="n"/>
      <c r="I2" s="1" t="n"/>
      <c r="J2" s="1" t="n"/>
    </row>
    <row r="3" ht="6" customHeight="1">
      <c r="A3" s="1" t="n"/>
      <c r="B3" s="1" t="n"/>
      <c r="C3" s="1" t="n"/>
      <c r="D3" s="1" t="n"/>
      <c r="E3" s="1" t="n"/>
      <c r="F3" s="1" t="n"/>
      <c r="G3" s="1" t="n"/>
      <c r="H3" s="1" t="n"/>
      <c r="I3" s="1" t="n"/>
      <c r="J3" s="1" t="n"/>
    </row>
    <row r="4">
      <c r="B4" s="9" t="inlineStr">
        <is>
          <t>NVIDIA CORP (NVDA)</t>
        </is>
      </c>
    </row>
    <row r="5">
      <c r="B5" s="10" t="inlineStr">
        <is>
          <t>Balance sheet</t>
        </is>
      </c>
    </row>
    <row r="6">
      <c r="B6" s="11" t="inlineStr">
        <is>
          <t>As reported in the filings — original filing preferred over a later restatement's comparative</t>
        </is>
      </c>
    </row>
    <row r="7">
      <c r="B7" s="11" t="inlineStr">
        <is>
          <t>($ in millions, except per share)</t>
        </is>
      </c>
      <c r="D7" s="12" t="inlineStr">
        <is>
          <t>For Fiscal Year Ending</t>
        </is>
      </c>
    </row>
    <row r="8">
      <c r="D8" s="13" t="inlineStr">
        <is>
          <t>FY2022</t>
        </is>
      </c>
      <c r="E8" s="13" t="inlineStr">
        <is>
          <t>FY2023</t>
        </is>
      </c>
      <c r="F8" s="13" t="inlineStr">
        <is>
          <t>FY2024</t>
        </is>
      </c>
      <c r="G8" s="13" t="inlineStr">
        <is>
          <t>FY2025</t>
        </is>
      </c>
      <c r="H8" s="13" t="inlineStr">
        <is>
          <t>FY2026</t>
        </is>
      </c>
      <c r="J8" s="14" t="inlineStr">
        <is>
          <t>Src</t>
        </is>
      </c>
    </row>
    <row r="9">
      <c r="B9" s="15" t="inlineStr">
        <is>
          <t>Cash and equivalents</t>
        </is>
      </c>
      <c r="D9" s="16" t="n">
        <v>1990000000</v>
      </c>
      <c r="E9" s="16" t="n">
        <v>3389000000</v>
      </c>
      <c r="F9" s="16" t="n">
        <v>7280000000</v>
      </c>
      <c r="G9" s="16" t="n">
        <v>8589000000</v>
      </c>
      <c r="H9" s="16" t="n">
        <v>10605000000</v>
      </c>
      <c r="J9" s="17" t="inlineStr">
        <is>
          <t>[41][42][43][44][45]</t>
        </is>
      </c>
    </row>
    <row r="10">
      <c r="B10" s="15" t="inlineStr">
        <is>
          <t>Short-term investments</t>
        </is>
      </c>
      <c r="D10" s="16" t="n">
        <v>19218000000</v>
      </c>
      <c r="E10" s="16" t="n">
        <v>9907000000</v>
      </c>
      <c r="F10" s="16" t="n">
        <v>18704000000</v>
      </c>
      <c r="G10" s="16" t="n">
        <v>34621000000</v>
      </c>
      <c r="H10" s="24" t="inlineStr">
        <is>
          <t>—</t>
        </is>
      </c>
      <c r="J10" s="17" t="inlineStr">
        <is>
          <t>[46][47][48][49]</t>
        </is>
      </c>
    </row>
    <row r="11">
      <c r="B11" s="15" t="inlineStr">
        <is>
          <t>Accounts receivable</t>
        </is>
      </c>
      <c r="D11" s="16" t="n">
        <v>4650000000</v>
      </c>
      <c r="E11" s="16" t="n">
        <v>3827000000</v>
      </c>
      <c r="F11" s="16" t="n">
        <v>9999000000</v>
      </c>
      <c r="G11" s="16" t="n">
        <v>23065000000</v>
      </c>
      <c r="H11" s="16" t="n">
        <v>38466000000</v>
      </c>
      <c r="J11" s="17" t="inlineStr">
        <is>
          <t>[93][94][95][96][97]</t>
        </is>
      </c>
    </row>
    <row r="12">
      <c r="B12" s="15" t="inlineStr">
        <is>
          <t>Inventory</t>
        </is>
      </c>
      <c r="D12" s="16" t="n">
        <v>2605000000</v>
      </c>
      <c r="E12" s="16" t="n">
        <v>5159000000</v>
      </c>
      <c r="F12" s="16" t="n">
        <v>5282000000</v>
      </c>
      <c r="G12" s="16" t="n">
        <v>10080000000</v>
      </c>
      <c r="H12" s="16" t="n">
        <v>21403000000</v>
      </c>
      <c r="J12" s="17" t="inlineStr">
        <is>
          <t>[98][99][100][101][102]</t>
        </is>
      </c>
    </row>
    <row r="13">
      <c r="B13" s="22" t="inlineStr">
        <is>
          <t>Total current assets</t>
        </is>
      </c>
      <c r="D13" s="25" t="n">
        <v>28829000000</v>
      </c>
      <c r="E13" s="25" t="n">
        <v>23073000000</v>
      </c>
      <c r="F13" s="25" t="n">
        <v>44345000000</v>
      </c>
      <c r="G13" s="25" t="n">
        <v>80126000000</v>
      </c>
      <c r="H13" s="25" t="n">
        <v>125605000000</v>
      </c>
      <c r="J13" s="17" t="inlineStr">
        <is>
          <t>[103][104][105][106][107]</t>
        </is>
      </c>
    </row>
    <row r="14">
      <c r="B14" s="15" t="inlineStr">
        <is>
          <t>Property, plant and equipment, net</t>
        </is>
      </c>
      <c r="D14" s="16" t="n">
        <v>2778000000</v>
      </c>
      <c r="E14" s="16" t="n">
        <v>3807000000</v>
      </c>
      <c r="F14" s="16" t="n">
        <v>3914000000</v>
      </c>
      <c r="G14" s="16" t="n">
        <v>6283000000</v>
      </c>
      <c r="H14" s="16" t="n">
        <v>10383000000</v>
      </c>
      <c r="J14" s="17" t="inlineStr">
        <is>
          <t>[108][109][110][111][112]</t>
        </is>
      </c>
    </row>
    <row r="15">
      <c r="B15" s="15" t="inlineStr">
        <is>
          <t>Goodwill</t>
        </is>
      </c>
      <c r="D15" s="16" t="n">
        <v>4349000000</v>
      </c>
      <c r="E15" s="16" t="n">
        <v>4372000000</v>
      </c>
      <c r="F15" s="16" t="n">
        <v>4430000000</v>
      </c>
      <c r="G15" s="16" t="n">
        <v>5188000000</v>
      </c>
      <c r="H15" s="16" t="n">
        <v>20832000000</v>
      </c>
      <c r="J15" s="17" t="inlineStr">
        <is>
          <t>[113][114][115][116][117]</t>
        </is>
      </c>
    </row>
    <row r="16">
      <c r="B16" s="22" t="inlineStr">
        <is>
          <t>Total assets</t>
        </is>
      </c>
      <c r="D16" s="25" t="n">
        <v>44187000000</v>
      </c>
      <c r="E16" s="25" t="n">
        <v>41182000000</v>
      </c>
      <c r="F16" s="25" t="n">
        <v>65728000000</v>
      </c>
      <c r="G16" s="25" t="n">
        <v>111601000000</v>
      </c>
      <c r="H16" s="25" t="n">
        <v>206803000000</v>
      </c>
      <c r="J16" s="17" t="inlineStr">
        <is>
          <t>[118][119][120][121][122]</t>
        </is>
      </c>
    </row>
    <row r="17">
      <c r="B17" s="15" t="inlineStr">
        <is>
          <t>Accounts payable</t>
        </is>
      </c>
      <c r="D17" s="16" t="n">
        <v>1783000000</v>
      </c>
      <c r="E17" s="16" t="n">
        <v>1193000000</v>
      </c>
      <c r="F17" s="16" t="n">
        <v>2699000000</v>
      </c>
      <c r="G17" s="16" t="n">
        <v>6310000000</v>
      </c>
      <c r="H17" s="16" t="n">
        <v>9812000000</v>
      </c>
      <c r="J17" s="17" t="inlineStr">
        <is>
          <t>[123][124][125][126][127]</t>
        </is>
      </c>
    </row>
    <row r="18">
      <c r="B18" s="22" t="inlineStr">
        <is>
          <t>Total current liabilities</t>
        </is>
      </c>
      <c r="D18" s="25" t="n">
        <v>4335000000</v>
      </c>
      <c r="E18" s="25" t="n">
        <v>6563000000</v>
      </c>
      <c r="F18" s="25" t="n">
        <v>10631000000</v>
      </c>
      <c r="G18" s="25" t="n">
        <v>18047000000</v>
      </c>
      <c r="H18" s="25" t="n">
        <v>32163000000</v>
      </c>
      <c r="J18" s="17" t="inlineStr">
        <is>
          <t>[128][129][130][131][132]</t>
        </is>
      </c>
    </row>
    <row r="19">
      <c r="B19" s="15" t="inlineStr">
        <is>
          <t>Short-term debt</t>
        </is>
      </c>
      <c r="D19" s="16" t="n">
        <v>0</v>
      </c>
      <c r="E19" s="16" t="n">
        <v>1250000000</v>
      </c>
      <c r="F19" s="16" t="n">
        <v>1250000000</v>
      </c>
      <c r="G19" s="16" t="n">
        <v>0</v>
      </c>
      <c r="H19" s="16" t="n">
        <v>999000000</v>
      </c>
      <c r="J19" s="17" t="inlineStr">
        <is>
          <t>[55][56][57][58][59]</t>
        </is>
      </c>
    </row>
    <row r="20">
      <c r="B20" s="15" t="inlineStr">
        <is>
          <t>Long-term debt</t>
        </is>
      </c>
      <c r="D20" s="16" t="n">
        <v>10946000000</v>
      </c>
      <c r="E20" s="16" t="n">
        <v>10953000000</v>
      </c>
      <c r="F20" s="16" t="n">
        <v>9709000000</v>
      </c>
      <c r="G20" s="16" t="n">
        <v>8463000000</v>
      </c>
      <c r="H20" s="16" t="n">
        <v>8468000000</v>
      </c>
      <c r="J20" s="17" t="inlineStr">
        <is>
          <t>[50][51][52][53][54]</t>
        </is>
      </c>
    </row>
    <row r="21">
      <c r="B21" s="22" t="inlineStr">
        <is>
          <t>Total liabilities</t>
        </is>
      </c>
      <c r="D21" s="25" t="n">
        <v>17575000000</v>
      </c>
      <c r="E21" s="25" t="n">
        <v>19081000000</v>
      </c>
      <c r="F21" s="25" t="n">
        <v>22750000000</v>
      </c>
      <c r="G21" s="25" t="n">
        <v>32274000000</v>
      </c>
      <c r="H21" s="25" t="n">
        <v>49510000000</v>
      </c>
      <c r="J21" s="17" t="inlineStr">
        <is>
          <t>[133][134][135][136][137]</t>
        </is>
      </c>
    </row>
    <row r="22">
      <c r="B22" s="22" t="inlineStr">
        <is>
          <t>Total shareholders' equity</t>
        </is>
      </c>
      <c r="D22" s="25" t="n">
        <v>26612000000</v>
      </c>
      <c r="E22" s="25" t="n">
        <v>22101000000</v>
      </c>
      <c r="F22" s="25" t="n">
        <v>42978000000</v>
      </c>
      <c r="G22" s="25" t="n">
        <v>79327000000</v>
      </c>
      <c r="H22" s="25" t="n">
        <v>157293000000</v>
      </c>
      <c r="J22" s="17" t="inlineStr">
        <is>
          <t>[60][61][62][63][64]</t>
        </is>
      </c>
    </row>
    <row r="24">
      <c r="B24" s="22" t="inlineStr">
        <is>
          <t>Total liabilities and equity</t>
        </is>
      </c>
      <c r="D24" s="25" t="n">
        <v>44187000000</v>
      </c>
      <c r="E24" s="25" t="n">
        <v>41182000000</v>
      </c>
      <c r="F24" s="25" t="n">
        <v>65728000000</v>
      </c>
      <c r="G24" s="25" t="n">
        <v>111601000000</v>
      </c>
      <c r="H24" s="25" t="n">
        <v>206803000000</v>
      </c>
      <c r="J24" s="17" t="inlineStr">
        <is>
          <t>[138][139][140][141][142]</t>
        </is>
      </c>
    </row>
    <row r="25">
      <c r="B25" s="3" t="inlineStr">
        <is>
          <t>Balance check (assets less liabilities and equity)</t>
        </is>
      </c>
      <c r="D25" s="27">
        <f>IFERROR(ROUND(D16-D24,0),0)</f>
        <v/>
      </c>
      <c r="E25" s="27">
        <f>IFERROR(ROUND(E16-E24,0),0)</f>
        <v/>
      </c>
      <c r="F25" s="27">
        <f>IFERROR(ROUND(F16-F24,0),0)</f>
        <v/>
      </c>
      <c r="G25" s="27">
        <f>IFERROR(ROUND(G16-G24,0),0)</f>
        <v/>
      </c>
      <c r="H25" s="27">
        <f>IFERROR(ROUND(H16-H24,0),0)</f>
        <v/>
      </c>
    </row>
    <row r="26">
      <c r="B26" s="26" t="inlineStr">
        <is>
          <t>A non-zero balance check is highlighted red. It means the filer's tagged totals do not tie, and the workbook should not be used until the discrepancy is understood.</t>
        </is>
      </c>
    </row>
  </sheetData>
  <conditionalFormatting sqref="D25:H25">
    <cfRule type="cellIs" priority="1" operator="notEqual" dxfId="0">
      <formula>0</formula>
    </cfRule>
  </conditionalFormatting>
  <pageMargins left="0.75" right="0.75" top="1" bottom="1" header="0.5" footer="0.5"/>
  <pageSetup orientation="landscape" fitToHeight="0" fitToWidth="1"/>
  <headerFooter>
    <oddHeader/>
    <oddFooter>&amp;L&amp;8 &amp;K808080L3VLUP&amp;R&amp;8 &amp;K808080Page &amp;P of &amp;N — see Cover for notices</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J16"/>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3" customWidth="1" min="1" max="1"/>
    <col width="38" customWidth="1" min="2" max="2"/>
    <col width="1.7" customWidth="1" min="3" max="3"/>
    <col width="13" customWidth="1" min="4" max="4"/>
    <col width="13" customWidth="1" min="5" max="5"/>
    <col width="13" customWidth="1" min="6" max="6"/>
    <col width="13" customWidth="1" min="7" max="7"/>
    <col width="13" customWidth="1" min="8" max="8"/>
    <col width="1.7" customWidth="1" min="9" max="9"/>
    <col width="10" customWidth="1" min="10" max="10"/>
  </cols>
  <sheetData>
    <row r="1" ht="6" customHeight="1">
      <c r="A1" s="1" t="n"/>
      <c r="B1" s="1" t="n"/>
      <c r="C1" s="1" t="n"/>
      <c r="D1" s="1" t="n"/>
      <c r="E1" s="1" t="n"/>
      <c r="F1" s="1" t="n"/>
      <c r="G1" s="1" t="n"/>
      <c r="H1" s="1" t="n"/>
      <c r="I1" s="1" t="n"/>
      <c r="J1" s="1" t="n"/>
    </row>
    <row r="2" ht="26" customHeight="1">
      <c r="A2" s="1" t="n"/>
      <c r="B2" s="1" t="n"/>
      <c r="C2" s="1" t="n"/>
      <c r="D2" s="1" t="n"/>
      <c r="E2" s="1" t="n"/>
      <c r="F2" s="1" t="n"/>
      <c r="G2" s="1" t="n"/>
      <c r="H2" s="1" t="n"/>
      <c r="I2" s="1" t="n"/>
      <c r="J2" s="1" t="n"/>
    </row>
    <row r="3" ht="6" customHeight="1">
      <c r="A3" s="1" t="n"/>
      <c r="B3" s="1" t="n"/>
      <c r="C3" s="1" t="n"/>
      <c r="D3" s="1" t="n"/>
      <c r="E3" s="1" t="n"/>
      <c r="F3" s="1" t="n"/>
      <c r="G3" s="1" t="n"/>
      <c r="H3" s="1" t="n"/>
      <c r="I3" s="1" t="n"/>
      <c r="J3" s="1" t="n"/>
    </row>
    <row r="4">
      <c r="B4" s="9" t="inlineStr">
        <is>
          <t>NVIDIA CORP (NVDA)</t>
        </is>
      </c>
    </row>
    <row r="5">
      <c r="B5" s="10" t="inlineStr">
        <is>
          <t>Cash flow statement</t>
        </is>
      </c>
    </row>
    <row r="6">
      <c r="B6" s="11" t="inlineStr">
        <is>
          <t>As reported in the filings — original filing preferred over a later restatement's comparative</t>
        </is>
      </c>
    </row>
    <row r="7">
      <c r="B7" s="11" t="inlineStr">
        <is>
          <t>($ in millions, except per share)</t>
        </is>
      </c>
      <c r="D7" s="12" t="inlineStr">
        <is>
          <t>For Fiscal Year Ending</t>
        </is>
      </c>
    </row>
    <row r="8">
      <c r="D8" s="13" t="inlineStr">
        <is>
          <t>FY2022</t>
        </is>
      </c>
      <c r="E8" s="13" t="inlineStr">
        <is>
          <t>FY2023</t>
        </is>
      </c>
      <c r="F8" s="13" t="inlineStr">
        <is>
          <t>FY2024</t>
        </is>
      </c>
      <c r="G8" s="13" t="inlineStr">
        <is>
          <t>FY2025</t>
        </is>
      </c>
      <c r="H8" s="13" t="inlineStr">
        <is>
          <t>FY2026</t>
        </is>
      </c>
      <c r="J8" s="14" t="inlineStr">
        <is>
          <t>Src</t>
        </is>
      </c>
    </row>
    <row r="9">
      <c r="B9" s="22" t="inlineStr">
        <is>
          <t>Cash from operations</t>
        </is>
      </c>
      <c r="D9" s="25" t="n">
        <v>9108000000</v>
      </c>
      <c r="E9" s="25" t="n">
        <v>5641000000</v>
      </c>
      <c r="F9" s="25" t="n">
        <v>28090000000</v>
      </c>
      <c r="G9" s="25" t="n">
        <v>64089000000</v>
      </c>
      <c r="H9" s="25" t="n">
        <v>102718000000</v>
      </c>
      <c r="J9" s="17" t="inlineStr">
        <is>
          <t>[31][32][33][34][35]</t>
        </is>
      </c>
    </row>
    <row r="10">
      <c r="B10" s="15" t="inlineStr">
        <is>
          <t>Capital expenditure</t>
        </is>
      </c>
      <c r="D10" s="16" t="n">
        <v>976000000</v>
      </c>
      <c r="E10" s="16" t="n">
        <v>1833000000</v>
      </c>
      <c r="F10" s="16" t="n">
        <v>1069000000</v>
      </c>
      <c r="G10" s="16" t="n">
        <v>3236000000</v>
      </c>
      <c r="H10" s="16" t="n">
        <v>6042000000</v>
      </c>
      <c r="J10" s="17" t="inlineStr">
        <is>
          <t>[36][37][38][39][40]</t>
        </is>
      </c>
    </row>
    <row r="11">
      <c r="B11" s="15" t="inlineStr">
        <is>
          <t>Cash from investing</t>
        </is>
      </c>
      <c r="D11" s="16" t="n">
        <v>-9830000000</v>
      </c>
      <c r="E11" s="16" t="n">
        <v>7375000000</v>
      </c>
      <c r="F11" s="16" t="n">
        <v>-10566000000</v>
      </c>
      <c r="G11" s="16" t="n">
        <v>-20421000000</v>
      </c>
      <c r="H11" s="16" t="n">
        <v>-52228000000</v>
      </c>
      <c r="J11" s="17" t="inlineStr">
        <is>
          <t>[143][144][145][146][147]</t>
        </is>
      </c>
    </row>
    <row r="12">
      <c r="B12" s="15" t="inlineStr">
        <is>
          <t>Cash from financing</t>
        </is>
      </c>
      <c r="D12" s="16" t="n">
        <v>1865000000</v>
      </c>
      <c r="E12" s="16" t="n">
        <v>-11617000000</v>
      </c>
      <c r="F12" s="16" t="n">
        <v>-13633000000</v>
      </c>
      <c r="G12" s="16" t="n">
        <v>-42359000000</v>
      </c>
      <c r="H12" s="16" t="n">
        <v>-48474000000</v>
      </c>
      <c r="J12" s="17" t="inlineStr">
        <is>
          <t>[148][149][150][151][152]</t>
        </is>
      </c>
    </row>
    <row r="13">
      <c r="B13" s="15" t="inlineStr">
        <is>
          <t>Share repurchases</t>
        </is>
      </c>
      <c r="D13" s="16" t="n">
        <v>0</v>
      </c>
      <c r="E13" s="16" t="n">
        <v>10039000000</v>
      </c>
      <c r="F13" s="16" t="n">
        <v>9533000000</v>
      </c>
      <c r="G13" s="16" t="n">
        <v>33706000000</v>
      </c>
      <c r="H13" s="16" t="n">
        <v>40086000000</v>
      </c>
      <c r="J13" s="17" t="inlineStr">
        <is>
          <t>[153][154][155][156][157]</t>
        </is>
      </c>
    </row>
    <row r="14">
      <c r="B14" s="15" t="inlineStr">
        <is>
          <t>Dividends paid</t>
        </is>
      </c>
      <c r="D14" s="16" t="n">
        <v>399000000</v>
      </c>
      <c r="E14" s="16" t="n">
        <v>398000000</v>
      </c>
      <c r="F14" s="16" t="n">
        <v>395000000</v>
      </c>
      <c r="G14" s="16" t="n">
        <v>834000000</v>
      </c>
      <c r="H14" s="16" t="n">
        <v>974000000</v>
      </c>
      <c r="J14" s="17" t="inlineStr">
        <is>
          <t>[158][159][160][161][162]</t>
        </is>
      </c>
    </row>
    <row r="16">
      <c r="B16" s="22" t="inlineStr">
        <is>
          <t>Free cash flow</t>
        </is>
      </c>
      <c r="D16" s="23">
        <f>IFERROR(D9-D10,"")</f>
        <v/>
      </c>
      <c r="E16" s="23">
        <f>IFERROR(E9-E10,"")</f>
        <v/>
      </c>
      <c r="F16" s="23">
        <f>IFERROR(F9-F10,"")</f>
        <v/>
      </c>
      <c r="G16" s="23">
        <f>IFERROR(G9-G10,"")</f>
        <v/>
      </c>
      <c r="H16" s="23">
        <f>IFERROR(H9-H10,"")</f>
        <v/>
      </c>
    </row>
  </sheetData>
  <pageMargins left="0.75" right="0.75" top="1" bottom="1" header="0.5" footer="0.5"/>
  <pageSetup orientation="landscape" fitToHeight="0" fitToWidth="1"/>
  <headerFooter>
    <oddHeader/>
    <oddFooter>&amp;L&amp;8 &amp;K808080L3VLUP&amp;R&amp;8 &amp;K808080Page &amp;P of &amp;N — see Cover for notices</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F21"/>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3" customWidth="1" min="1" max="1"/>
    <col width="38" customWidth="1" min="2" max="2"/>
    <col width="1.7" customWidth="1" min="3" max="3"/>
    <col width="1.7" customWidth="1" min="4" max="4"/>
    <col width="10" customWidth="1" min="5" max="5"/>
  </cols>
  <sheetData>
    <row r="1" ht="6" customHeight="1">
      <c r="A1" s="1" t="n"/>
      <c r="B1" s="1" t="n"/>
      <c r="C1" s="1" t="n"/>
      <c r="D1" s="1" t="n"/>
      <c r="E1" s="1" t="n"/>
      <c r="F1" s="1" t="n"/>
    </row>
    <row r="2" ht="26" customHeight="1">
      <c r="A2" s="1" t="n"/>
      <c r="B2" s="1" t="n"/>
      <c r="C2" s="1" t="n"/>
      <c r="D2" s="1" t="n"/>
      <c r="E2" s="1" t="n"/>
      <c r="F2" s="1" t="n"/>
    </row>
    <row r="3" ht="6" customHeight="1">
      <c r="A3" s="1" t="n"/>
      <c r="B3" s="1" t="n"/>
      <c r="C3" s="1" t="n"/>
      <c r="D3" s="1" t="n"/>
      <c r="E3" s="1" t="n"/>
      <c r="F3" s="1" t="n"/>
    </row>
    <row r="4">
      <c r="B4" s="9" t="inlineStr">
        <is>
          <t>NVIDIA CORP (NVDA)</t>
        </is>
      </c>
    </row>
    <row r="5">
      <c r="B5" s="10" t="inlineStr">
        <is>
          <t>Filings used</t>
        </is>
      </c>
    </row>
    <row r="6">
      <c r="B6" s="11" t="inlineStr">
        <is>
          <t>The primary documents behind every figure in this workbook</t>
        </is>
      </c>
    </row>
    <row r="9">
      <c r="B9" s="4" t="inlineStr">
        <is>
          <t>Recent annual and quarterly filings</t>
        </is>
      </c>
    </row>
    <row r="10">
      <c r="B10" s="15" t="inlineStr">
        <is>
          <t>10-Q · period 2026-07-26 · filed 2026-08-26</t>
        </is>
      </c>
      <c r="D10" s="28" t="inlineStr">
        <is>
          <t>0001045810-26-000075</t>
        </is>
      </c>
    </row>
    <row r="11">
      <c r="B11" s="15" t="inlineStr">
        <is>
          <t>10-Q · period 2026-04-26 · filed 2026-05-20</t>
        </is>
      </c>
      <c r="D11" s="28" t="inlineStr">
        <is>
          <t>0001045810-26-000052</t>
        </is>
      </c>
    </row>
    <row r="12">
      <c r="B12" s="15" t="inlineStr">
        <is>
          <t>10-K · period 2026-01-25 · filed 2026-02-25</t>
        </is>
      </c>
      <c r="D12" s="28" t="inlineStr">
        <is>
          <t>0001045810-26-000021</t>
        </is>
      </c>
    </row>
    <row r="13">
      <c r="B13" s="15" t="inlineStr">
        <is>
          <t>10-Q · period 2025-10-26 · filed 2025-11-19</t>
        </is>
      </c>
      <c r="D13" s="28" t="inlineStr">
        <is>
          <t>0001045810-25-000230</t>
        </is>
      </c>
    </row>
    <row r="14">
      <c r="B14" s="15" t="inlineStr">
        <is>
          <t>10-Q · period 2025-07-27 · filed 2025-08-27</t>
        </is>
      </c>
      <c r="D14" s="28" t="inlineStr">
        <is>
          <t>0001045810-25-000209</t>
        </is>
      </c>
    </row>
    <row r="15">
      <c r="B15" s="15" t="inlineStr">
        <is>
          <t>10-Q · period 2025-04-27 · filed 2025-05-28</t>
        </is>
      </c>
      <c r="D15" s="28" t="inlineStr">
        <is>
          <t>0001045810-25-000116</t>
        </is>
      </c>
    </row>
    <row r="16">
      <c r="B16" s="15" t="inlineStr">
        <is>
          <t>10-K · period 2025-01-26 · filed 2025-02-26</t>
        </is>
      </c>
      <c r="D16" s="28" t="inlineStr">
        <is>
          <t>0001045810-25-000023</t>
        </is>
      </c>
    </row>
    <row r="17">
      <c r="B17" s="15" t="inlineStr">
        <is>
          <t>10-Q · period 2024-10-27 · filed 2024-11-20</t>
        </is>
      </c>
      <c r="D17" s="28" t="inlineStr">
        <is>
          <t>0001045810-24-000316</t>
        </is>
      </c>
    </row>
    <row r="18">
      <c r="B18" s="15" t="inlineStr">
        <is>
          <t>10-Q · period 2024-07-28 · filed 2024-08-28</t>
        </is>
      </c>
      <c r="D18" s="28" t="inlineStr">
        <is>
          <t>0001045810-24-000264</t>
        </is>
      </c>
    </row>
    <row r="19">
      <c r="B19" s="15" t="inlineStr">
        <is>
          <t>10-Q · period 2024-04-28 · filed 2024-05-29</t>
        </is>
      </c>
      <c r="D19" s="28" t="inlineStr">
        <is>
          <t>0001045810-24-000124</t>
        </is>
      </c>
    </row>
    <row r="20">
      <c r="B20" s="15" t="inlineStr">
        <is>
          <t>10-K · period 2024-01-28 · filed 2024-02-21</t>
        </is>
      </c>
      <c r="D20" s="28" t="inlineStr">
        <is>
          <t>0001045810-24-000029</t>
        </is>
      </c>
    </row>
    <row r="21">
      <c r="B21" s="15" t="inlineStr">
        <is>
          <t>10-Q · period 2023-10-29 · filed 2023-11-21</t>
        </is>
      </c>
      <c r="D21" s="28" t="inlineStr">
        <is>
          <t>0001045810-23-000227</t>
        </is>
      </c>
    </row>
  </sheetData>
  <pageMargins left="0.75" right="0.75" top="1" bottom="1" header="0.5" footer="0.5"/>
  <pageSetup orientation="landscape" fitToHeight="0" fitToWidth="1"/>
  <headerFooter>
    <oddHeader/>
    <oddFooter>&amp;L&amp;8 &amp;K808080L3VLUP&amp;R&amp;8 &amp;K808080Page &amp;P of &amp;N — see Cover for notices</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170"/>
  <sheetViews>
    <sheetView showGridLines="0" workbookViewId="0">
      <pane xSplit="2" ySplit="8" topLeftCell="C9" activePane="bottomRight" state="frozen"/>
      <selection pane="topRight"/>
      <selection pane="bottomLeft"/>
      <selection pane="bottomRight" activeCell="A1" sqref="A1"/>
    </sheetView>
  </sheetViews>
  <sheetFormatPr baseColWidth="8" defaultRowHeight="15"/>
  <cols>
    <col width="3" customWidth="1" min="1" max="1"/>
    <col width="4" customWidth="1" min="2" max="2"/>
    <col width="34" customWidth="1" min="3" max="3"/>
    <col width="56" customWidth="1" min="4" max="4"/>
    <col width="24" customWidth="1" min="5" max="5"/>
    <col width="70" customWidth="1" min="6" max="6"/>
  </cols>
  <sheetData>
    <row r="1" ht="6" customHeight="1">
      <c r="A1" s="1" t="n"/>
      <c r="B1" s="1" t="n"/>
      <c r="C1" s="1" t="n"/>
      <c r="D1" s="1" t="n"/>
      <c r="E1" s="1" t="n"/>
      <c r="F1" s="1" t="n"/>
    </row>
    <row r="2" ht="26" customHeight="1">
      <c r="A2" s="1" t="n"/>
      <c r="B2" s="1" t="n"/>
      <c r="C2" s="1" t="n"/>
      <c r="D2" s="1" t="n"/>
      <c r="E2" s="1" t="n"/>
      <c r="F2" s="1" t="n"/>
    </row>
    <row r="3" ht="6" customHeight="1">
      <c r="A3" s="1" t="n"/>
      <c r="B3" s="1" t="n"/>
      <c r="C3" s="1" t="n"/>
      <c r="D3" s="1" t="n"/>
      <c r="E3" s="1" t="n"/>
      <c r="F3" s="1" t="n"/>
    </row>
    <row r="4">
      <c r="B4" s="9" t="inlineStr">
        <is>
          <t>NVIDIA CORP (NVDA)</t>
        </is>
      </c>
    </row>
    <row r="5">
      <c r="B5" s="10" t="inlineStr">
        <is>
          <t>Sources and audit trail</t>
        </is>
      </c>
    </row>
    <row r="6">
      <c r="B6" s="11" t="inlineStr">
        <is>
          <t>Every marker in the [n] column of any tab resolves here. Historic financials come from filings, never from an aggregator.</t>
        </is>
      </c>
    </row>
    <row r="7">
      <c r="B7" s="29" t="inlineStr">
        <is>
          <t>Some lines are blank because the filer did not tag them — see the Profile tab note.</t>
        </is>
      </c>
    </row>
    <row r="8">
      <c r="B8" s="4" t="inlineStr">
        <is>
          <t>#</t>
        </is>
      </c>
      <c r="C8" s="4" t="inlineStr">
        <is>
          <t>Source</t>
        </is>
      </c>
      <c r="D8" s="4" t="inlineStr">
        <is>
          <t>Detail</t>
        </is>
      </c>
      <c r="E8" s="4" t="inlineStr">
        <is>
          <t>Accession</t>
        </is>
      </c>
      <c r="F8" s="4" t="inlineStr">
        <is>
          <t>Link</t>
        </is>
      </c>
    </row>
    <row r="9">
      <c r="B9" s="30" t="n">
        <v>1</v>
      </c>
      <c r="C9" s="15" t="inlineStr">
        <is>
          <t>NVDA FY2022 10-K</t>
        </is>
      </c>
      <c r="D9" s="30" t="inlineStr">
        <is>
          <t>us-gaap:Revenues · period ending 2022-01-30 · USD · filed 2022-03-18</t>
        </is>
      </c>
      <c r="E9" s="30" t="inlineStr">
        <is>
          <t>0001045810-22-000036</t>
        </is>
      </c>
      <c r="F9" s="31" t="inlineStr">
        <is>
          <t>https://www.sec.gov/Archives/edgar/data/1045810/000104581022000036/0001045810-22-000036-index.htm</t>
        </is>
      </c>
    </row>
    <row r="10">
      <c r="B10" s="30" t="n">
        <v>2</v>
      </c>
      <c r="C10" s="15" t="inlineStr">
        <is>
          <t>NVDA FY2023 10-K</t>
        </is>
      </c>
      <c r="D10" s="30" t="inlineStr">
        <is>
          <t>us-gaap:Revenues · period ending 2023-01-29 · USD · filed 2023-02-24</t>
        </is>
      </c>
      <c r="E10" s="30" t="inlineStr">
        <is>
          <t>0001045810-23-000017</t>
        </is>
      </c>
      <c r="F10" s="31" t="inlineStr">
        <is>
          <t>https://www.sec.gov/Archives/edgar/data/1045810/000104581023000017/0001045810-23-000017-index.htm</t>
        </is>
      </c>
    </row>
    <row r="11">
      <c r="B11" s="30" t="n">
        <v>3</v>
      </c>
      <c r="C11" s="15" t="inlineStr">
        <is>
          <t>NVDA FY2024 10-K</t>
        </is>
      </c>
      <c r="D11" s="30" t="inlineStr">
        <is>
          <t>us-gaap:Revenues · period ending 2024-01-28 · USD · filed 2024-02-21</t>
        </is>
      </c>
      <c r="E11" s="30" t="inlineStr">
        <is>
          <t>0001045810-24-000029</t>
        </is>
      </c>
      <c r="F11" s="31" t="inlineStr">
        <is>
          <t>https://www.sec.gov/Archives/edgar/data/1045810/000104581024000029/0001045810-24-000029-index.htm</t>
        </is>
      </c>
    </row>
    <row r="12">
      <c r="B12" s="30" t="n">
        <v>4</v>
      </c>
      <c r="C12" s="15" t="inlineStr">
        <is>
          <t>NVDA FY2025 10-K</t>
        </is>
      </c>
      <c r="D12" s="30" t="inlineStr">
        <is>
          <t>us-gaap:Revenues · period ending 2025-01-26 · USD · filed 2025-02-26</t>
        </is>
      </c>
      <c r="E12" s="30" t="inlineStr">
        <is>
          <t>0001045810-25-000023</t>
        </is>
      </c>
      <c r="F12" s="31" t="inlineStr">
        <is>
          <t>https://www.sec.gov/Archives/edgar/data/1045810/000104581025000023/0001045810-25-000023-index.htm</t>
        </is>
      </c>
    </row>
    <row r="13">
      <c r="B13" s="30" t="n">
        <v>5</v>
      </c>
      <c r="C13" s="15" t="inlineStr">
        <is>
          <t>NVDA FY2026 10-K</t>
        </is>
      </c>
      <c r="D13" s="30" t="inlineStr">
        <is>
          <t>us-gaap:Revenues · period ending 2026-01-25 · USD · filed 2026-02-25</t>
        </is>
      </c>
      <c r="E13" s="30" t="inlineStr">
        <is>
          <t>0001045810-26-000021</t>
        </is>
      </c>
      <c r="F13" s="31" t="inlineStr">
        <is>
          <t>https://www.sec.gov/Archives/edgar/data/1045810/000104581026000021/0001045810-26-000021-index.htm</t>
        </is>
      </c>
    </row>
    <row r="14">
      <c r="B14" s="30" t="n">
        <v>6</v>
      </c>
      <c r="C14" s="15" t="inlineStr">
        <is>
          <t>NVDA FY2022 10-K</t>
        </is>
      </c>
      <c r="D14" s="30" t="inlineStr">
        <is>
          <t>us-gaap:GrossProfit · period ending 2022-01-30 · USD · filed 2022-03-18</t>
        </is>
      </c>
      <c r="E14" s="30" t="inlineStr">
        <is>
          <t>0001045810-22-000036</t>
        </is>
      </c>
      <c r="F14" s="31" t="inlineStr">
        <is>
          <t>https://www.sec.gov/Archives/edgar/data/1045810/000104581022000036/0001045810-22-000036-index.htm</t>
        </is>
      </c>
    </row>
    <row r="15">
      <c r="B15" s="30" t="n">
        <v>7</v>
      </c>
      <c r="C15" s="15" t="inlineStr">
        <is>
          <t>NVDA FY2023 10-K</t>
        </is>
      </c>
      <c r="D15" s="30" t="inlineStr">
        <is>
          <t>us-gaap:GrossProfit · period ending 2023-01-29 · USD · filed 2023-02-24</t>
        </is>
      </c>
      <c r="E15" s="30" t="inlineStr">
        <is>
          <t>0001045810-23-000017</t>
        </is>
      </c>
      <c r="F15" s="31" t="inlineStr">
        <is>
          <t>https://www.sec.gov/Archives/edgar/data/1045810/000104581023000017/0001045810-23-000017-index.htm</t>
        </is>
      </c>
    </row>
    <row r="16">
      <c r="B16" s="30" t="n">
        <v>8</v>
      </c>
      <c r="C16" s="15" t="inlineStr">
        <is>
          <t>NVDA FY2024 10-K</t>
        </is>
      </c>
      <c r="D16" s="30" t="inlineStr">
        <is>
          <t>us-gaap:GrossProfit · period ending 2024-01-28 · USD · filed 2024-02-21</t>
        </is>
      </c>
      <c r="E16" s="30" t="inlineStr">
        <is>
          <t>0001045810-24-000029</t>
        </is>
      </c>
      <c r="F16" s="31" t="inlineStr">
        <is>
          <t>https://www.sec.gov/Archives/edgar/data/1045810/000104581024000029/0001045810-24-000029-index.htm</t>
        </is>
      </c>
    </row>
    <row r="17">
      <c r="B17" s="30" t="n">
        <v>9</v>
      </c>
      <c r="C17" s="15" t="inlineStr">
        <is>
          <t>NVDA FY2025 10-K</t>
        </is>
      </c>
      <c r="D17" s="30" t="inlineStr">
        <is>
          <t>us-gaap:GrossProfit · period ending 2025-01-26 · USD · filed 2025-02-26</t>
        </is>
      </c>
      <c r="E17" s="30" t="inlineStr">
        <is>
          <t>0001045810-25-000023</t>
        </is>
      </c>
      <c r="F17" s="31" t="inlineStr">
        <is>
          <t>https://www.sec.gov/Archives/edgar/data/1045810/000104581025000023/0001045810-25-000023-index.htm</t>
        </is>
      </c>
    </row>
    <row r="18">
      <c r="B18" s="30" t="n">
        <v>10</v>
      </c>
      <c r="C18" s="15" t="inlineStr">
        <is>
          <t>NVDA FY2026 10-K</t>
        </is>
      </c>
      <c r="D18" s="30" t="inlineStr">
        <is>
          <t>us-gaap:GrossProfit · period ending 2026-01-25 · USD · filed 2026-02-25</t>
        </is>
      </c>
      <c r="E18" s="30" t="inlineStr">
        <is>
          <t>0001045810-26-000021</t>
        </is>
      </c>
      <c r="F18" s="31" t="inlineStr">
        <is>
          <t>https://www.sec.gov/Archives/edgar/data/1045810/000104581026000021/0001045810-26-000021-index.htm</t>
        </is>
      </c>
    </row>
    <row r="19">
      <c r="B19" s="30" t="n">
        <v>11</v>
      </c>
      <c r="C19" s="15" t="inlineStr">
        <is>
          <t>NVDA FY2022 10-K</t>
        </is>
      </c>
      <c r="D19" s="30" t="inlineStr">
        <is>
          <t>us-gaap:OperatingIncomeLoss · period ending 2022-01-30 · USD · filed 2022-03-18</t>
        </is>
      </c>
      <c r="E19" s="30" t="inlineStr">
        <is>
          <t>0001045810-22-000036</t>
        </is>
      </c>
      <c r="F19" s="31" t="inlineStr">
        <is>
          <t>https://www.sec.gov/Archives/edgar/data/1045810/000104581022000036/0001045810-22-000036-index.htm</t>
        </is>
      </c>
    </row>
    <row r="20">
      <c r="B20" s="30" t="n">
        <v>12</v>
      </c>
      <c r="C20" s="15" t="inlineStr">
        <is>
          <t>NVDA FY2023 10-K</t>
        </is>
      </c>
      <c r="D20" s="30" t="inlineStr">
        <is>
          <t>us-gaap:OperatingIncomeLoss · period ending 2023-01-29 · USD · filed 2023-02-24</t>
        </is>
      </c>
      <c r="E20" s="30" t="inlineStr">
        <is>
          <t>0001045810-23-000017</t>
        </is>
      </c>
      <c r="F20" s="31" t="inlineStr">
        <is>
          <t>https://www.sec.gov/Archives/edgar/data/1045810/000104581023000017/0001045810-23-000017-index.htm</t>
        </is>
      </c>
    </row>
    <row r="21">
      <c r="B21" s="30" t="n">
        <v>13</v>
      </c>
      <c r="C21" s="15" t="inlineStr">
        <is>
          <t>NVDA FY2024 10-K</t>
        </is>
      </c>
      <c r="D21" s="30" t="inlineStr">
        <is>
          <t>us-gaap:OperatingIncomeLoss · period ending 2024-01-28 · USD · filed 2024-02-21</t>
        </is>
      </c>
      <c r="E21" s="30" t="inlineStr">
        <is>
          <t>0001045810-24-000029</t>
        </is>
      </c>
      <c r="F21" s="31" t="inlineStr">
        <is>
          <t>https://www.sec.gov/Archives/edgar/data/1045810/000104581024000029/0001045810-24-000029-index.htm</t>
        </is>
      </c>
    </row>
    <row r="22">
      <c r="B22" s="30" t="n">
        <v>14</v>
      </c>
      <c r="C22" s="15" t="inlineStr">
        <is>
          <t>NVDA FY2025 10-K</t>
        </is>
      </c>
      <c r="D22" s="30" t="inlineStr">
        <is>
          <t>us-gaap:OperatingIncomeLoss · period ending 2025-01-26 · USD · filed 2025-02-26</t>
        </is>
      </c>
      <c r="E22" s="30" t="inlineStr">
        <is>
          <t>0001045810-25-000023</t>
        </is>
      </c>
      <c r="F22" s="31" t="inlineStr">
        <is>
          <t>https://www.sec.gov/Archives/edgar/data/1045810/000104581025000023/0001045810-25-000023-index.htm</t>
        </is>
      </c>
    </row>
    <row r="23">
      <c r="B23" s="30" t="n">
        <v>15</v>
      </c>
      <c r="C23" s="15" t="inlineStr">
        <is>
          <t>NVDA FY2026 10-K</t>
        </is>
      </c>
      <c r="D23" s="30" t="inlineStr">
        <is>
          <t>us-gaap:OperatingIncomeLoss · period ending 2026-01-25 · USD · filed 2026-02-25</t>
        </is>
      </c>
      <c r="E23" s="30" t="inlineStr">
        <is>
          <t>0001045810-26-000021</t>
        </is>
      </c>
      <c r="F23" s="31" t="inlineStr">
        <is>
          <t>https://www.sec.gov/Archives/edgar/data/1045810/000104581026000021/0001045810-26-000021-index.htm</t>
        </is>
      </c>
    </row>
    <row r="24">
      <c r="B24" s="30" t="n">
        <v>16</v>
      </c>
      <c r="C24" s="15" t="inlineStr">
        <is>
          <t>NVDA FY2022 10-K</t>
        </is>
      </c>
      <c r="D24" s="30" t="inlineStr">
        <is>
          <t>us-gaap:NetIncomeLoss · period ending 2022-01-30 · USD · filed 2022-03-18</t>
        </is>
      </c>
      <c r="E24" s="30" t="inlineStr">
        <is>
          <t>0001045810-22-000036</t>
        </is>
      </c>
      <c r="F24" s="31" t="inlineStr">
        <is>
          <t>https://www.sec.gov/Archives/edgar/data/1045810/000104581022000036/0001045810-22-000036-index.htm</t>
        </is>
      </c>
    </row>
    <row r="25">
      <c r="B25" s="30" t="n">
        <v>17</v>
      </c>
      <c r="C25" s="15" t="inlineStr">
        <is>
          <t>NVDA FY2023 10-K</t>
        </is>
      </c>
      <c r="D25" s="30" t="inlineStr">
        <is>
          <t>us-gaap:NetIncomeLoss · period ending 2023-01-29 · USD · filed 2023-02-24</t>
        </is>
      </c>
      <c r="E25" s="30" t="inlineStr">
        <is>
          <t>0001045810-23-000017</t>
        </is>
      </c>
      <c r="F25" s="31" t="inlineStr">
        <is>
          <t>https://www.sec.gov/Archives/edgar/data/1045810/000104581023000017/0001045810-23-000017-index.htm</t>
        </is>
      </c>
    </row>
    <row r="26">
      <c r="B26" s="30" t="n">
        <v>18</v>
      </c>
      <c r="C26" s="15" t="inlineStr">
        <is>
          <t>NVDA FY2024 10-K</t>
        </is>
      </c>
      <c r="D26" s="30" t="inlineStr">
        <is>
          <t>us-gaap:NetIncomeLoss · period ending 2024-01-28 · USD · filed 2024-02-21</t>
        </is>
      </c>
      <c r="E26" s="30" t="inlineStr">
        <is>
          <t>0001045810-24-000029</t>
        </is>
      </c>
      <c r="F26" s="31" t="inlineStr">
        <is>
          <t>https://www.sec.gov/Archives/edgar/data/1045810/000104581024000029/0001045810-24-000029-index.htm</t>
        </is>
      </c>
    </row>
    <row r="27">
      <c r="B27" s="30" t="n">
        <v>19</v>
      </c>
      <c r="C27" s="15" t="inlineStr">
        <is>
          <t>NVDA FY2025 10-K</t>
        </is>
      </c>
      <c r="D27" s="30" t="inlineStr">
        <is>
          <t>us-gaap:NetIncomeLoss · period ending 2025-01-26 · USD · filed 2025-02-26</t>
        </is>
      </c>
      <c r="E27" s="30" t="inlineStr">
        <is>
          <t>0001045810-25-000023</t>
        </is>
      </c>
      <c r="F27" s="31" t="inlineStr">
        <is>
          <t>https://www.sec.gov/Archives/edgar/data/1045810/000104581025000023/0001045810-25-000023-index.htm</t>
        </is>
      </c>
    </row>
    <row r="28">
      <c r="B28" s="30" t="n">
        <v>20</v>
      </c>
      <c r="C28" s="15" t="inlineStr">
        <is>
          <t>NVDA FY2026 10-K</t>
        </is>
      </c>
      <c r="D28" s="30" t="inlineStr">
        <is>
          <t>us-gaap:NetIncomeLoss · period ending 2026-01-25 · USD · filed 2026-02-25</t>
        </is>
      </c>
      <c r="E28" s="30" t="inlineStr">
        <is>
          <t>0001045810-26-000021</t>
        </is>
      </c>
      <c r="F28" s="31" t="inlineStr">
        <is>
          <t>https://www.sec.gov/Archives/edgar/data/1045810/000104581026000021/0001045810-26-000021-index.htm</t>
        </is>
      </c>
    </row>
    <row r="29">
      <c r="B29" s="30" t="n">
        <v>21</v>
      </c>
      <c r="C29" s="15" t="inlineStr">
        <is>
          <t>NVDA FY2022 10-K</t>
        </is>
      </c>
      <c r="D29" s="30" t="inlineStr">
        <is>
          <t>us-gaap:EarningsPerShareDiluted · period ending 2022-01-30 · USD/shares · filed 2022-03-18</t>
        </is>
      </c>
      <c r="E29" s="30" t="inlineStr">
        <is>
          <t>0001045810-22-000036</t>
        </is>
      </c>
      <c r="F29" s="31" t="inlineStr">
        <is>
          <t>https://www.sec.gov/Archives/edgar/data/1045810/000104581022000036/0001045810-22-000036-index.htm</t>
        </is>
      </c>
    </row>
    <row r="30">
      <c r="B30" s="30" t="n">
        <v>22</v>
      </c>
      <c r="C30" s="15" t="inlineStr">
        <is>
          <t>NVDA FY2023 10-K</t>
        </is>
      </c>
      <c r="D30" s="30" t="inlineStr">
        <is>
          <t>us-gaap:EarningsPerShareDiluted · period ending 2023-01-29 · USD/shares · filed 2023-02-24</t>
        </is>
      </c>
      <c r="E30" s="30" t="inlineStr">
        <is>
          <t>0001045810-23-000017</t>
        </is>
      </c>
      <c r="F30" s="31" t="inlineStr">
        <is>
          <t>https://www.sec.gov/Archives/edgar/data/1045810/000104581023000017/0001045810-23-000017-index.htm</t>
        </is>
      </c>
    </row>
    <row r="31">
      <c r="B31" s="30" t="n">
        <v>23</v>
      </c>
      <c r="C31" s="15" t="inlineStr">
        <is>
          <t>NVDA FY2024 10-K</t>
        </is>
      </c>
      <c r="D31" s="30" t="inlineStr">
        <is>
          <t>us-gaap:EarningsPerShareDiluted · period ending 2024-01-28 · USD/shares · filed 2024-02-21</t>
        </is>
      </c>
      <c r="E31" s="30" t="inlineStr">
        <is>
          <t>0001045810-24-000029</t>
        </is>
      </c>
      <c r="F31" s="31" t="inlineStr">
        <is>
          <t>https://www.sec.gov/Archives/edgar/data/1045810/000104581024000029/0001045810-24-000029-index.htm</t>
        </is>
      </c>
    </row>
    <row r="32">
      <c r="B32" s="30" t="n">
        <v>24</v>
      </c>
      <c r="C32" s="15" t="inlineStr">
        <is>
          <t>NVDA FY2025 10-K</t>
        </is>
      </c>
      <c r="D32" s="30" t="inlineStr">
        <is>
          <t>us-gaap:EarningsPerShareDiluted · period ending 2025-01-26 · USD/shares · filed 2025-02-26</t>
        </is>
      </c>
      <c r="E32" s="30" t="inlineStr">
        <is>
          <t>0001045810-25-000023</t>
        </is>
      </c>
      <c r="F32" s="31" t="inlineStr">
        <is>
          <t>https://www.sec.gov/Archives/edgar/data/1045810/000104581025000023/0001045810-25-000023-index.htm</t>
        </is>
      </c>
    </row>
    <row r="33">
      <c r="B33" s="30" t="n">
        <v>25</v>
      </c>
      <c r="C33" s="15" t="inlineStr">
        <is>
          <t>NVDA FY2026 10-K</t>
        </is>
      </c>
      <c r="D33" s="30" t="inlineStr">
        <is>
          <t>us-gaap:EarningsPerShareDiluted · period ending 2026-01-25 · USD/shares · filed 2026-02-25</t>
        </is>
      </c>
      <c r="E33" s="30" t="inlineStr">
        <is>
          <t>0001045810-26-000021</t>
        </is>
      </c>
      <c r="F33" s="31" t="inlineStr">
        <is>
          <t>https://www.sec.gov/Archives/edgar/data/1045810/000104581026000021/0001045810-26-000021-index.htm</t>
        </is>
      </c>
    </row>
    <row r="34">
      <c r="B34" s="30" t="n">
        <v>26</v>
      </c>
      <c r="C34" s="15" t="inlineStr">
        <is>
          <t>NVDA FY2022 10-K</t>
        </is>
      </c>
      <c r="D34" s="30" t="inlineStr">
        <is>
          <t>us-gaap:WeightedAverageNumberOfDilutedSharesOutstanding · period ending 2022-01-30 · shares · filed 2022-03-18</t>
        </is>
      </c>
      <c r="E34" s="30" t="inlineStr">
        <is>
          <t>0001045810-22-000036</t>
        </is>
      </c>
      <c r="F34" s="31" t="inlineStr">
        <is>
          <t>https://www.sec.gov/Archives/edgar/data/1045810/000104581022000036/0001045810-22-000036-index.htm</t>
        </is>
      </c>
    </row>
    <row r="35">
      <c r="B35" s="30" t="n">
        <v>27</v>
      </c>
      <c r="C35" s="15" t="inlineStr">
        <is>
          <t>NVDA FY2023 10-K</t>
        </is>
      </c>
      <c r="D35" s="30" t="inlineStr">
        <is>
          <t>us-gaap:WeightedAverageNumberOfDilutedSharesOutstanding · period ending 2023-01-29 · shares · filed 2023-02-24</t>
        </is>
      </c>
      <c r="E35" s="30" t="inlineStr">
        <is>
          <t>0001045810-23-000017</t>
        </is>
      </c>
      <c r="F35" s="31" t="inlineStr">
        <is>
          <t>https://www.sec.gov/Archives/edgar/data/1045810/000104581023000017/0001045810-23-000017-index.htm</t>
        </is>
      </c>
    </row>
    <row r="36">
      <c r="B36" s="30" t="n">
        <v>28</v>
      </c>
      <c r="C36" s="15" t="inlineStr">
        <is>
          <t>NVDA FY2024 10-K</t>
        </is>
      </c>
      <c r="D36" s="30" t="inlineStr">
        <is>
          <t>us-gaap:WeightedAverageNumberOfDilutedSharesOutstanding · period ending 2024-01-28 · shares · filed 2024-02-21</t>
        </is>
      </c>
      <c r="E36" s="30" t="inlineStr">
        <is>
          <t>0001045810-24-000029</t>
        </is>
      </c>
      <c r="F36" s="31" t="inlineStr">
        <is>
          <t>https://www.sec.gov/Archives/edgar/data/1045810/000104581024000029/0001045810-24-000029-index.htm</t>
        </is>
      </c>
    </row>
    <row r="37">
      <c r="B37" s="30" t="n">
        <v>29</v>
      </c>
      <c r="C37" s="15" t="inlineStr">
        <is>
          <t>NVDA FY2025 10-K</t>
        </is>
      </c>
      <c r="D37" s="30" t="inlineStr">
        <is>
          <t>us-gaap:WeightedAverageNumberOfDilutedSharesOutstanding · period ending 2025-01-26 · shares · filed 2025-02-26</t>
        </is>
      </c>
      <c r="E37" s="30" t="inlineStr">
        <is>
          <t>0001045810-25-000023</t>
        </is>
      </c>
      <c r="F37" s="31" t="inlineStr">
        <is>
          <t>https://www.sec.gov/Archives/edgar/data/1045810/000104581025000023/0001045810-25-000023-index.htm</t>
        </is>
      </c>
    </row>
    <row r="38">
      <c r="B38" s="30" t="n">
        <v>30</v>
      </c>
      <c r="C38" s="15" t="inlineStr">
        <is>
          <t>NVDA FY2026 10-K</t>
        </is>
      </c>
      <c r="D38" s="30" t="inlineStr">
        <is>
          <t>us-gaap:WeightedAverageNumberOfDilutedSharesOutstanding · period ending 2026-01-25 · shares · filed 2026-02-25</t>
        </is>
      </c>
      <c r="E38" s="30" t="inlineStr">
        <is>
          <t>0001045810-26-000021</t>
        </is>
      </c>
      <c r="F38" s="31" t="inlineStr">
        <is>
          <t>https://www.sec.gov/Archives/edgar/data/1045810/000104581026000021/0001045810-26-000021-index.htm</t>
        </is>
      </c>
    </row>
    <row r="39">
      <c r="B39" s="30" t="n">
        <v>31</v>
      </c>
      <c r="C39" s="15" t="inlineStr">
        <is>
          <t>NVDA FY2022 10-K</t>
        </is>
      </c>
      <c r="D39" s="30" t="inlineStr">
        <is>
          <t>us-gaap:NetCashProvidedByUsedInOperatingActivities · period ending 2022-01-30 · USD · filed 2022-03-18</t>
        </is>
      </c>
      <c r="E39" s="30" t="inlineStr">
        <is>
          <t>0001045810-22-000036</t>
        </is>
      </c>
      <c r="F39" s="31" t="inlineStr">
        <is>
          <t>https://www.sec.gov/Archives/edgar/data/1045810/000104581022000036/0001045810-22-000036-index.htm</t>
        </is>
      </c>
    </row>
    <row r="40">
      <c r="B40" s="30" t="n">
        <v>32</v>
      </c>
      <c r="C40" s="15" t="inlineStr">
        <is>
          <t>NVDA FY2023 10-K</t>
        </is>
      </c>
      <c r="D40" s="30" t="inlineStr">
        <is>
          <t>us-gaap:NetCashProvidedByUsedInOperatingActivities · period ending 2023-01-29 · USD · filed 2023-02-24</t>
        </is>
      </c>
      <c r="E40" s="30" t="inlineStr">
        <is>
          <t>0001045810-23-000017</t>
        </is>
      </c>
      <c r="F40" s="31" t="inlineStr">
        <is>
          <t>https://www.sec.gov/Archives/edgar/data/1045810/000104581023000017/0001045810-23-000017-index.htm</t>
        </is>
      </c>
    </row>
    <row r="41">
      <c r="B41" s="30" t="n">
        <v>33</v>
      </c>
      <c r="C41" s="15" t="inlineStr">
        <is>
          <t>NVDA FY2024 10-K</t>
        </is>
      </c>
      <c r="D41" s="30" t="inlineStr">
        <is>
          <t>us-gaap:NetCashProvidedByUsedInOperatingActivities · period ending 2024-01-28 · USD · filed 2024-02-21</t>
        </is>
      </c>
      <c r="E41" s="30" t="inlineStr">
        <is>
          <t>0001045810-24-000029</t>
        </is>
      </c>
      <c r="F41" s="31" t="inlineStr">
        <is>
          <t>https://www.sec.gov/Archives/edgar/data/1045810/000104581024000029/0001045810-24-000029-index.htm</t>
        </is>
      </c>
    </row>
    <row r="42">
      <c r="B42" s="30" t="n">
        <v>34</v>
      </c>
      <c r="C42" s="15" t="inlineStr">
        <is>
          <t>NVDA FY2025 10-K</t>
        </is>
      </c>
      <c r="D42" s="30" t="inlineStr">
        <is>
          <t>us-gaap:NetCashProvidedByUsedInOperatingActivities · period ending 2025-01-26 · USD · filed 2025-02-26</t>
        </is>
      </c>
      <c r="E42" s="30" t="inlineStr">
        <is>
          <t>0001045810-25-000023</t>
        </is>
      </c>
      <c r="F42" s="31" t="inlineStr">
        <is>
          <t>https://www.sec.gov/Archives/edgar/data/1045810/000104581025000023/0001045810-25-000023-index.htm</t>
        </is>
      </c>
    </row>
    <row r="43">
      <c r="B43" s="30" t="n">
        <v>35</v>
      </c>
      <c r="C43" s="15" t="inlineStr">
        <is>
          <t>NVDA FY2026 10-K</t>
        </is>
      </c>
      <c r="D43" s="30" t="inlineStr">
        <is>
          <t>us-gaap:NetCashProvidedByUsedInOperatingActivities · period ending 2026-01-25 · USD · filed 2026-02-25</t>
        </is>
      </c>
      <c r="E43" s="30" t="inlineStr">
        <is>
          <t>0001045810-26-000021</t>
        </is>
      </c>
      <c r="F43" s="31" t="inlineStr">
        <is>
          <t>https://www.sec.gov/Archives/edgar/data/1045810/000104581026000021/0001045810-26-000021-index.htm</t>
        </is>
      </c>
    </row>
    <row r="44">
      <c r="B44" s="30" t="n">
        <v>36</v>
      </c>
      <c r="C44" s="15" t="inlineStr">
        <is>
          <t>NVDA FY2022 10-K</t>
        </is>
      </c>
      <c r="D44" s="30" t="inlineStr">
        <is>
          <t>us-gaap:PaymentsToAcquireProductiveAssets · period ending 2022-01-30 · USD · filed 2024-02-21</t>
        </is>
      </c>
      <c r="E44" s="30" t="inlineStr">
        <is>
          <t>0001045810-24-000029</t>
        </is>
      </c>
      <c r="F44" s="31" t="inlineStr">
        <is>
          <t>https://www.sec.gov/Archives/edgar/data/1045810/000104581024000029/0001045810-24-000029-index.htm</t>
        </is>
      </c>
    </row>
    <row r="45">
      <c r="B45" s="30" t="n">
        <v>37</v>
      </c>
      <c r="C45" s="15" t="inlineStr">
        <is>
          <t>NVDA FY2023 10-K</t>
        </is>
      </c>
      <c r="D45" s="30" t="inlineStr">
        <is>
          <t>us-gaap:PaymentsToAcquireProductiveAssets · period ending 2023-01-29 · USD · filed 2024-02-21</t>
        </is>
      </c>
      <c r="E45" s="30" t="inlineStr">
        <is>
          <t>0001045810-24-000029</t>
        </is>
      </c>
      <c r="F45" s="31" t="inlineStr">
        <is>
          <t>https://www.sec.gov/Archives/edgar/data/1045810/000104581024000029/0001045810-24-000029-index.htm</t>
        </is>
      </c>
    </row>
    <row r="46">
      <c r="B46" s="30" t="n">
        <v>38</v>
      </c>
      <c r="C46" s="15" t="inlineStr">
        <is>
          <t>NVDA FY2024 10-K</t>
        </is>
      </c>
      <c r="D46" s="30" t="inlineStr">
        <is>
          <t>us-gaap:PaymentsToAcquireProductiveAssets · period ending 2024-01-28 · USD · filed 2024-02-21</t>
        </is>
      </c>
      <c r="E46" s="30" t="inlineStr">
        <is>
          <t>0001045810-24-000029</t>
        </is>
      </c>
      <c r="F46" s="31" t="inlineStr">
        <is>
          <t>https://www.sec.gov/Archives/edgar/data/1045810/000104581024000029/0001045810-24-000029-index.htm</t>
        </is>
      </c>
    </row>
    <row r="47">
      <c r="B47" s="30" t="n">
        <v>39</v>
      </c>
      <c r="C47" s="15" t="inlineStr">
        <is>
          <t>NVDA FY2025 10-K</t>
        </is>
      </c>
      <c r="D47" s="30" t="inlineStr">
        <is>
          <t>us-gaap:PaymentsToAcquireProductiveAssets · period ending 2025-01-26 · USD · filed 2025-02-26</t>
        </is>
      </c>
      <c r="E47" s="30" t="inlineStr">
        <is>
          <t>0001045810-25-000023</t>
        </is>
      </c>
      <c r="F47" s="31" t="inlineStr">
        <is>
          <t>https://www.sec.gov/Archives/edgar/data/1045810/000104581025000023/0001045810-25-000023-index.htm</t>
        </is>
      </c>
    </row>
    <row r="48">
      <c r="B48" s="30" t="n">
        <v>40</v>
      </c>
      <c r="C48" s="15" t="inlineStr">
        <is>
          <t>NVDA FY2026 10-K</t>
        </is>
      </c>
      <c r="D48" s="30" t="inlineStr">
        <is>
          <t>us-gaap:PaymentsToAcquireProductiveAssets · period ending 2026-01-25 · USD · filed 2026-02-25</t>
        </is>
      </c>
      <c r="E48" s="30" t="inlineStr">
        <is>
          <t>0001045810-26-000021</t>
        </is>
      </c>
      <c r="F48" s="31" t="inlineStr">
        <is>
          <t>https://www.sec.gov/Archives/edgar/data/1045810/000104581026000021/0001045810-26-000021-index.htm</t>
        </is>
      </c>
    </row>
    <row r="49">
      <c r="B49" s="30" t="n">
        <v>41</v>
      </c>
      <c r="C49" s="15" t="inlineStr">
        <is>
          <t>NVDA FY2022 10-K</t>
        </is>
      </c>
      <c r="D49" s="30" t="inlineStr">
        <is>
          <t>us-gaap:CashAndCashEquivalentsAtCarryingValue · period ending 2022-01-30 · USD · filed 2022-03-18</t>
        </is>
      </c>
      <c r="E49" s="30" t="inlineStr">
        <is>
          <t>0001045810-22-000036</t>
        </is>
      </c>
      <c r="F49" s="31" t="inlineStr">
        <is>
          <t>https://www.sec.gov/Archives/edgar/data/1045810/000104581022000036/0001045810-22-000036-index.htm</t>
        </is>
      </c>
    </row>
    <row r="50">
      <c r="B50" s="30" t="n">
        <v>42</v>
      </c>
      <c r="C50" s="15" t="inlineStr">
        <is>
          <t>NVDA FY2023 10-K</t>
        </is>
      </c>
      <c r="D50" s="30" t="inlineStr">
        <is>
          <t>us-gaap:CashAndCashEquivalentsAtCarryingValue · period ending 2023-01-29 · USD · filed 2023-02-24</t>
        </is>
      </c>
      <c r="E50" s="30" t="inlineStr">
        <is>
          <t>0001045810-23-000017</t>
        </is>
      </c>
      <c r="F50" s="31" t="inlineStr">
        <is>
          <t>https://www.sec.gov/Archives/edgar/data/1045810/000104581023000017/0001045810-23-000017-index.htm</t>
        </is>
      </c>
    </row>
    <row r="51">
      <c r="B51" s="30" t="n">
        <v>43</v>
      </c>
      <c r="C51" s="15" t="inlineStr">
        <is>
          <t>NVDA FY2024 10-K</t>
        </is>
      </c>
      <c r="D51" s="30" t="inlineStr">
        <is>
          <t>us-gaap:CashAndCashEquivalentsAtCarryingValue · period ending 2024-01-28 · USD · filed 2024-02-21</t>
        </is>
      </c>
      <c r="E51" s="30" t="inlineStr">
        <is>
          <t>0001045810-24-000029</t>
        </is>
      </c>
      <c r="F51" s="31" t="inlineStr">
        <is>
          <t>https://www.sec.gov/Archives/edgar/data/1045810/000104581024000029/0001045810-24-000029-index.htm</t>
        </is>
      </c>
    </row>
    <row r="52">
      <c r="B52" s="30" t="n">
        <v>44</v>
      </c>
      <c r="C52" s="15" t="inlineStr">
        <is>
          <t>NVDA FY2025 10-K</t>
        </is>
      </c>
      <c r="D52" s="30" t="inlineStr">
        <is>
          <t>us-gaap:CashAndCashEquivalentsAtCarryingValue · period ending 2025-01-26 · USD · filed 2025-02-26</t>
        </is>
      </c>
      <c r="E52" s="30" t="inlineStr">
        <is>
          <t>0001045810-25-000023</t>
        </is>
      </c>
      <c r="F52" s="31" t="inlineStr">
        <is>
          <t>https://www.sec.gov/Archives/edgar/data/1045810/000104581025000023/0001045810-25-000023-index.htm</t>
        </is>
      </c>
    </row>
    <row r="53">
      <c r="B53" s="30" t="n">
        <v>45</v>
      </c>
      <c r="C53" s="15" t="inlineStr">
        <is>
          <t>NVDA FY2026 10-K</t>
        </is>
      </c>
      <c r="D53" s="30" t="inlineStr">
        <is>
          <t>us-gaap:CashAndCashEquivalentsAtCarryingValue · period ending 2026-01-25 · USD · filed 2026-02-25</t>
        </is>
      </c>
      <c r="E53" s="30" t="inlineStr">
        <is>
          <t>0001045810-26-000021</t>
        </is>
      </c>
      <c r="F53" s="31" t="inlineStr">
        <is>
          <t>https://www.sec.gov/Archives/edgar/data/1045810/000104581026000021/0001045810-26-000021-index.htm</t>
        </is>
      </c>
    </row>
    <row r="54">
      <c r="B54" s="30" t="n">
        <v>46</v>
      </c>
      <c r="C54" s="15" t="inlineStr">
        <is>
          <t>NVDA FY2022 10-K</t>
        </is>
      </c>
      <c r="D54" s="30" t="inlineStr">
        <is>
          <t>us-gaap:MarketableSecuritiesCurrent · period ending 2022-01-30 · USD · filed 2022-03-18</t>
        </is>
      </c>
      <c r="E54" s="30" t="inlineStr">
        <is>
          <t>0001045810-22-000036</t>
        </is>
      </c>
      <c r="F54" s="31" t="inlineStr">
        <is>
          <t>https://www.sec.gov/Archives/edgar/data/1045810/000104581022000036/0001045810-22-000036-index.htm</t>
        </is>
      </c>
    </row>
    <row r="55">
      <c r="B55" s="30" t="n">
        <v>47</v>
      </c>
      <c r="C55" s="15" t="inlineStr">
        <is>
          <t>NVDA FY2023 10-K</t>
        </is>
      </c>
      <c r="D55" s="30" t="inlineStr">
        <is>
          <t>us-gaap:MarketableSecuritiesCurrent · period ending 2023-01-29 · USD · filed 2023-02-24</t>
        </is>
      </c>
      <c r="E55" s="30" t="inlineStr">
        <is>
          <t>0001045810-23-000017</t>
        </is>
      </c>
      <c r="F55" s="31" t="inlineStr">
        <is>
          <t>https://www.sec.gov/Archives/edgar/data/1045810/000104581023000017/0001045810-23-000017-index.htm</t>
        </is>
      </c>
    </row>
    <row r="56">
      <c r="B56" s="30" t="n">
        <v>48</v>
      </c>
      <c r="C56" s="15" t="inlineStr">
        <is>
          <t>NVDA FY2024 10-K</t>
        </is>
      </c>
      <c r="D56" s="30" t="inlineStr">
        <is>
          <t>us-gaap:MarketableSecuritiesCurrent · period ending 2024-01-28 · USD · filed 2024-02-21</t>
        </is>
      </c>
      <c r="E56" s="30" t="inlineStr">
        <is>
          <t>0001045810-24-000029</t>
        </is>
      </c>
      <c r="F56" s="31" t="inlineStr">
        <is>
          <t>https://www.sec.gov/Archives/edgar/data/1045810/000104581024000029/0001045810-24-000029-index.htm</t>
        </is>
      </c>
    </row>
    <row r="57">
      <c r="B57" s="30" t="n">
        <v>49</v>
      </c>
      <c r="C57" s="15" t="inlineStr">
        <is>
          <t>NVDA FY2025 10-K</t>
        </is>
      </c>
      <c r="D57" s="30" t="inlineStr">
        <is>
          <t>us-gaap:MarketableSecuritiesCurrent · period ending 2025-01-26 · USD · filed 2025-02-26</t>
        </is>
      </c>
      <c r="E57" s="30" t="inlineStr">
        <is>
          <t>0001045810-25-000023</t>
        </is>
      </c>
      <c r="F57" s="31" t="inlineStr">
        <is>
          <t>https://www.sec.gov/Archives/edgar/data/1045810/000104581025000023/0001045810-25-000023-index.htm</t>
        </is>
      </c>
    </row>
    <row r="58">
      <c r="B58" s="30" t="n">
        <v>50</v>
      </c>
      <c r="C58" s="15" t="inlineStr">
        <is>
          <t>NVDA FY2022 10-K</t>
        </is>
      </c>
      <c r="D58" s="30" t="inlineStr">
        <is>
          <t>us-gaap:LongTermDebt · period ending 2022-01-30 · USD · filed 2022-03-18</t>
        </is>
      </c>
      <c r="E58" s="30" t="inlineStr">
        <is>
          <t>0001045810-22-000036</t>
        </is>
      </c>
      <c r="F58" s="31" t="inlineStr">
        <is>
          <t>https://www.sec.gov/Archives/edgar/data/1045810/000104581022000036/0001045810-22-000036-index.htm</t>
        </is>
      </c>
    </row>
    <row r="59">
      <c r="B59" s="30" t="n">
        <v>51</v>
      </c>
      <c r="C59" s="15" t="inlineStr">
        <is>
          <t>NVDA FY2023 10-K</t>
        </is>
      </c>
      <c r="D59" s="30" t="inlineStr">
        <is>
          <t>us-gaap:LongTermDebt · period ending 2023-01-29 · USD · filed 2023-02-24</t>
        </is>
      </c>
      <c r="E59" s="30" t="inlineStr">
        <is>
          <t>0001045810-23-000017</t>
        </is>
      </c>
      <c r="F59" s="31" t="inlineStr">
        <is>
          <t>https://www.sec.gov/Archives/edgar/data/1045810/000104581023000017/0001045810-23-000017-index.htm</t>
        </is>
      </c>
    </row>
    <row r="60">
      <c r="B60" s="30" t="n">
        <v>52</v>
      </c>
      <c r="C60" s="15" t="inlineStr">
        <is>
          <t>NVDA FY2024 10-K</t>
        </is>
      </c>
      <c r="D60" s="30" t="inlineStr">
        <is>
          <t>us-gaap:LongTermDebt · period ending 2024-01-28 · USD · filed 2024-02-21</t>
        </is>
      </c>
      <c r="E60" s="30" t="inlineStr">
        <is>
          <t>0001045810-24-000029</t>
        </is>
      </c>
      <c r="F60" s="31" t="inlineStr">
        <is>
          <t>https://www.sec.gov/Archives/edgar/data/1045810/000104581024000029/0001045810-24-000029-index.htm</t>
        </is>
      </c>
    </row>
    <row r="61">
      <c r="B61" s="30" t="n">
        <v>53</v>
      </c>
      <c r="C61" s="15" t="inlineStr">
        <is>
          <t>NVDA FY2025 10-K</t>
        </is>
      </c>
      <c r="D61" s="30" t="inlineStr">
        <is>
          <t>us-gaap:LongTermDebt · period ending 2025-01-26 · USD · filed 2025-02-26</t>
        </is>
      </c>
      <c r="E61" s="30" t="inlineStr">
        <is>
          <t>0001045810-25-000023</t>
        </is>
      </c>
      <c r="F61" s="31" t="inlineStr">
        <is>
          <t>https://www.sec.gov/Archives/edgar/data/1045810/000104581025000023/0001045810-25-000023-index.htm</t>
        </is>
      </c>
    </row>
    <row r="62">
      <c r="B62" s="30" t="n">
        <v>54</v>
      </c>
      <c r="C62" s="15" t="inlineStr">
        <is>
          <t>NVDA FY2026 10-K</t>
        </is>
      </c>
      <c r="D62" s="30" t="inlineStr">
        <is>
          <t>us-gaap:LongTermDebt · period ending 2026-01-25 · USD · filed 2026-02-25</t>
        </is>
      </c>
      <c r="E62" s="30" t="inlineStr">
        <is>
          <t>0001045810-26-000021</t>
        </is>
      </c>
      <c r="F62" s="31" t="inlineStr">
        <is>
          <t>https://www.sec.gov/Archives/edgar/data/1045810/000104581026000021/0001045810-26-000021-index.htm</t>
        </is>
      </c>
    </row>
    <row r="63">
      <c r="B63" s="30" t="n">
        <v>55</v>
      </c>
      <c r="C63" s="15" t="inlineStr">
        <is>
          <t>NVDA FY2022 10-K</t>
        </is>
      </c>
      <c r="D63" s="30" t="inlineStr">
        <is>
          <t>us-gaap:LongTermDebtCurrent · period ending 2022-01-30 · USD · filed 2022-03-18</t>
        </is>
      </c>
      <c r="E63" s="30" t="inlineStr">
        <is>
          <t>0001045810-22-000036</t>
        </is>
      </c>
      <c r="F63" s="31" t="inlineStr">
        <is>
          <t>https://www.sec.gov/Archives/edgar/data/1045810/000104581022000036/0001045810-22-000036-index.htm</t>
        </is>
      </c>
    </row>
    <row r="64">
      <c r="B64" s="30" t="n">
        <v>56</v>
      </c>
      <c r="C64" s="15" t="inlineStr">
        <is>
          <t>NVDA FY2023 10-K</t>
        </is>
      </c>
      <c r="D64" s="30" t="inlineStr">
        <is>
          <t>us-gaap:LongTermDebtCurrent · period ending 2023-01-29 · USD · filed 2023-02-24</t>
        </is>
      </c>
      <c r="E64" s="30" t="inlineStr">
        <is>
          <t>0001045810-23-000017</t>
        </is>
      </c>
      <c r="F64" s="31" t="inlineStr">
        <is>
          <t>https://www.sec.gov/Archives/edgar/data/1045810/000104581023000017/0001045810-23-000017-index.htm</t>
        </is>
      </c>
    </row>
    <row r="65">
      <c r="B65" s="30" t="n">
        <v>57</v>
      </c>
      <c r="C65" s="15" t="inlineStr">
        <is>
          <t>NVDA FY2024 10-K</t>
        </is>
      </c>
      <c r="D65" s="30" t="inlineStr">
        <is>
          <t>us-gaap:LongTermDebtCurrent · period ending 2024-01-28 · USD · filed 2024-02-21</t>
        </is>
      </c>
      <c r="E65" s="30" t="inlineStr">
        <is>
          <t>0001045810-24-000029</t>
        </is>
      </c>
      <c r="F65" s="31" t="inlineStr">
        <is>
          <t>https://www.sec.gov/Archives/edgar/data/1045810/000104581024000029/0001045810-24-000029-index.htm</t>
        </is>
      </c>
    </row>
    <row r="66">
      <c r="B66" s="30" t="n">
        <v>58</v>
      </c>
      <c r="C66" s="15" t="inlineStr">
        <is>
          <t>NVDA FY2025 10-K</t>
        </is>
      </c>
      <c r="D66" s="30" t="inlineStr">
        <is>
          <t>us-gaap:LongTermDebtCurrent · period ending 2025-01-26 · USD · filed 2025-02-26</t>
        </is>
      </c>
      <c r="E66" s="30" t="inlineStr">
        <is>
          <t>0001045810-25-000023</t>
        </is>
      </c>
      <c r="F66" s="31" t="inlineStr">
        <is>
          <t>https://www.sec.gov/Archives/edgar/data/1045810/000104581025000023/0001045810-25-000023-index.htm</t>
        </is>
      </c>
    </row>
    <row r="67">
      <c r="B67" s="30" t="n">
        <v>59</v>
      </c>
      <c r="C67" s="15" t="inlineStr">
        <is>
          <t>NVDA FY2026 10-K</t>
        </is>
      </c>
      <c r="D67" s="30" t="inlineStr">
        <is>
          <t>us-gaap:LongTermDebtCurrent · period ending 2026-01-25 · USD · filed 2026-02-25</t>
        </is>
      </c>
      <c r="E67" s="30" t="inlineStr">
        <is>
          <t>0001045810-26-000021</t>
        </is>
      </c>
      <c r="F67" s="31" t="inlineStr">
        <is>
          <t>https://www.sec.gov/Archives/edgar/data/1045810/000104581026000021/0001045810-26-000021-index.htm</t>
        </is>
      </c>
    </row>
    <row r="68">
      <c r="B68" s="30" t="n">
        <v>60</v>
      </c>
      <c r="C68" s="15" t="inlineStr">
        <is>
          <t>NVDA FY2022 10-K</t>
        </is>
      </c>
      <c r="D68" s="30" t="inlineStr">
        <is>
          <t>us-gaap:StockholdersEquity · period ending 2022-01-30 · USD · filed 2022-03-18</t>
        </is>
      </c>
      <c r="E68" s="30" t="inlineStr">
        <is>
          <t>0001045810-22-000036</t>
        </is>
      </c>
      <c r="F68" s="31" t="inlineStr">
        <is>
          <t>https://www.sec.gov/Archives/edgar/data/1045810/000104581022000036/0001045810-22-000036-index.htm</t>
        </is>
      </c>
    </row>
    <row r="69">
      <c r="B69" s="30" t="n">
        <v>61</v>
      </c>
      <c r="C69" s="15" t="inlineStr">
        <is>
          <t>NVDA FY2023 10-K</t>
        </is>
      </c>
      <c r="D69" s="30" t="inlineStr">
        <is>
          <t>us-gaap:StockholdersEquity · period ending 2023-01-29 · USD · filed 2023-02-24</t>
        </is>
      </c>
      <c r="E69" s="30" t="inlineStr">
        <is>
          <t>0001045810-23-000017</t>
        </is>
      </c>
      <c r="F69" s="31" t="inlineStr">
        <is>
          <t>https://www.sec.gov/Archives/edgar/data/1045810/000104581023000017/0001045810-23-000017-index.htm</t>
        </is>
      </c>
    </row>
    <row r="70">
      <c r="B70" s="30" t="n">
        <v>62</v>
      </c>
      <c r="C70" s="15" t="inlineStr">
        <is>
          <t>NVDA FY2024 10-K</t>
        </is>
      </c>
      <c r="D70" s="30" t="inlineStr">
        <is>
          <t>us-gaap:StockholdersEquity · period ending 2024-01-28 · USD · filed 2024-02-21</t>
        </is>
      </c>
      <c r="E70" s="30" t="inlineStr">
        <is>
          <t>0001045810-24-000029</t>
        </is>
      </c>
      <c r="F70" s="31" t="inlineStr">
        <is>
          <t>https://www.sec.gov/Archives/edgar/data/1045810/000104581024000029/0001045810-24-000029-index.htm</t>
        </is>
      </c>
    </row>
    <row r="71">
      <c r="B71" s="30" t="n">
        <v>63</v>
      </c>
      <c r="C71" s="15" t="inlineStr">
        <is>
          <t>NVDA FY2025 10-K</t>
        </is>
      </c>
      <c r="D71" s="30" t="inlineStr">
        <is>
          <t>us-gaap:StockholdersEquity · period ending 2025-01-26 · USD · filed 2025-02-26</t>
        </is>
      </c>
      <c r="E71" s="30" t="inlineStr">
        <is>
          <t>0001045810-25-000023</t>
        </is>
      </c>
      <c r="F71" s="31" t="inlineStr">
        <is>
          <t>https://www.sec.gov/Archives/edgar/data/1045810/000104581025000023/0001045810-25-000023-index.htm</t>
        </is>
      </c>
    </row>
    <row r="72">
      <c r="B72" s="30" t="n">
        <v>64</v>
      </c>
      <c r="C72" s="15" t="inlineStr">
        <is>
          <t>NVDA FY2026 10-K</t>
        </is>
      </c>
      <c r="D72" s="30" t="inlineStr">
        <is>
          <t>us-gaap:StockholdersEquity · period ending 2026-01-25 · USD · filed 2026-02-25</t>
        </is>
      </c>
      <c r="E72" s="30" t="inlineStr">
        <is>
          <t>0001045810-26-000021</t>
        </is>
      </c>
      <c r="F72" s="31" t="inlineStr">
        <is>
          <t>https://www.sec.gov/Archives/edgar/data/1045810/000104581026000021/0001045810-26-000021-index.htm</t>
        </is>
      </c>
    </row>
    <row r="73">
      <c r="B73" s="30" t="n">
        <v>65</v>
      </c>
      <c r="C73" s="15" t="inlineStr">
        <is>
          <t>NVDA FY2022 10-K</t>
        </is>
      </c>
      <c r="D73" s="30" t="inlineStr">
        <is>
          <t>us-gaap:CostOfRevenue · period ending 2022-01-30 · USD · filed 2022-03-18</t>
        </is>
      </c>
      <c r="E73" s="30" t="inlineStr">
        <is>
          <t>0001045810-22-000036</t>
        </is>
      </c>
      <c r="F73" s="31" t="inlineStr">
        <is>
          <t>https://www.sec.gov/Archives/edgar/data/1045810/000104581022000036/0001045810-22-000036-index.htm</t>
        </is>
      </c>
    </row>
    <row r="74">
      <c r="B74" s="30" t="n">
        <v>66</v>
      </c>
      <c r="C74" s="15" t="inlineStr">
        <is>
          <t>NVDA FY2023 10-K</t>
        </is>
      </c>
      <c r="D74" s="30" t="inlineStr">
        <is>
          <t>us-gaap:CostOfRevenue · period ending 2023-01-29 · USD · filed 2023-02-24</t>
        </is>
      </c>
      <c r="E74" s="30" t="inlineStr">
        <is>
          <t>0001045810-23-000017</t>
        </is>
      </c>
      <c r="F74" s="31" t="inlineStr">
        <is>
          <t>https://www.sec.gov/Archives/edgar/data/1045810/000104581023000017/0001045810-23-000017-index.htm</t>
        </is>
      </c>
    </row>
    <row r="75">
      <c r="B75" s="30" t="n">
        <v>67</v>
      </c>
      <c r="C75" s="15" t="inlineStr">
        <is>
          <t>NVDA FY2024 10-K</t>
        </is>
      </c>
      <c r="D75" s="30" t="inlineStr">
        <is>
          <t>us-gaap:CostOfRevenue · period ending 2024-01-28 · USD · filed 2024-02-21</t>
        </is>
      </c>
      <c r="E75" s="30" t="inlineStr">
        <is>
          <t>0001045810-24-000029</t>
        </is>
      </c>
      <c r="F75" s="31" t="inlineStr">
        <is>
          <t>https://www.sec.gov/Archives/edgar/data/1045810/000104581024000029/0001045810-24-000029-index.htm</t>
        </is>
      </c>
    </row>
    <row r="76">
      <c r="B76" s="30" t="n">
        <v>68</v>
      </c>
      <c r="C76" s="15" t="inlineStr">
        <is>
          <t>NVDA FY2025 10-K</t>
        </is>
      </c>
      <c r="D76" s="30" t="inlineStr">
        <is>
          <t>us-gaap:CostOfRevenue · period ending 2025-01-26 · USD · filed 2025-02-26</t>
        </is>
      </c>
      <c r="E76" s="30" t="inlineStr">
        <is>
          <t>0001045810-25-000023</t>
        </is>
      </c>
      <c r="F76" s="31" t="inlineStr">
        <is>
          <t>https://www.sec.gov/Archives/edgar/data/1045810/000104581025000023/0001045810-25-000023-index.htm</t>
        </is>
      </c>
    </row>
    <row r="77">
      <c r="B77" s="30" t="n">
        <v>69</v>
      </c>
      <c r="C77" s="15" t="inlineStr">
        <is>
          <t>NVDA FY2026 10-K</t>
        </is>
      </c>
      <c r="D77" s="30" t="inlineStr">
        <is>
          <t>us-gaap:CostOfRevenue · period ending 2026-01-25 · USD · filed 2026-02-25</t>
        </is>
      </c>
      <c r="E77" s="30" t="inlineStr">
        <is>
          <t>0001045810-26-000021</t>
        </is>
      </c>
      <c r="F77" s="31" t="inlineStr">
        <is>
          <t>https://www.sec.gov/Archives/edgar/data/1045810/000104581026000021/0001045810-26-000021-index.htm</t>
        </is>
      </c>
    </row>
    <row r="78">
      <c r="B78" s="30" t="n">
        <v>70</v>
      </c>
      <c r="C78" s="15" t="inlineStr">
        <is>
          <t>NVDA FY2022 10-K</t>
        </is>
      </c>
      <c r="D78" s="30" t="inlineStr">
        <is>
          <t>us-gaap:ResearchAndDevelopmentExpense · period ending 2022-01-30 · USD · filed 2022-03-18</t>
        </is>
      </c>
      <c r="E78" s="30" t="inlineStr">
        <is>
          <t>0001045810-22-000036</t>
        </is>
      </c>
      <c r="F78" s="31" t="inlineStr">
        <is>
          <t>https://www.sec.gov/Archives/edgar/data/1045810/000104581022000036/0001045810-22-000036-index.htm</t>
        </is>
      </c>
    </row>
    <row r="79">
      <c r="B79" s="30" t="n">
        <v>71</v>
      </c>
      <c r="C79" s="15" t="inlineStr">
        <is>
          <t>NVDA FY2023 10-K</t>
        </is>
      </c>
      <c r="D79" s="30" t="inlineStr">
        <is>
          <t>us-gaap:ResearchAndDevelopmentExpense · period ending 2023-01-29 · USD · filed 2023-02-24</t>
        </is>
      </c>
      <c r="E79" s="30" t="inlineStr">
        <is>
          <t>0001045810-23-000017</t>
        </is>
      </c>
      <c r="F79" s="31" t="inlineStr">
        <is>
          <t>https://www.sec.gov/Archives/edgar/data/1045810/000104581023000017/0001045810-23-000017-index.htm</t>
        </is>
      </c>
    </row>
    <row r="80">
      <c r="B80" s="30" t="n">
        <v>72</v>
      </c>
      <c r="C80" s="15" t="inlineStr">
        <is>
          <t>NVDA FY2024 10-K</t>
        </is>
      </c>
      <c r="D80" s="30" t="inlineStr">
        <is>
          <t>us-gaap:ResearchAndDevelopmentExpense · period ending 2024-01-28 · USD · filed 2024-02-21</t>
        </is>
      </c>
      <c r="E80" s="30" t="inlineStr">
        <is>
          <t>0001045810-24-000029</t>
        </is>
      </c>
      <c r="F80" s="31" t="inlineStr">
        <is>
          <t>https://www.sec.gov/Archives/edgar/data/1045810/000104581024000029/0001045810-24-000029-index.htm</t>
        </is>
      </c>
    </row>
    <row r="81">
      <c r="B81" s="30" t="n">
        <v>73</v>
      </c>
      <c r="C81" s="15" t="inlineStr">
        <is>
          <t>NVDA FY2025 10-K</t>
        </is>
      </c>
      <c r="D81" s="30" t="inlineStr">
        <is>
          <t>us-gaap:ResearchAndDevelopmentExpense · period ending 2025-01-26 · USD · filed 2025-02-26</t>
        </is>
      </c>
      <c r="E81" s="30" t="inlineStr">
        <is>
          <t>0001045810-25-000023</t>
        </is>
      </c>
      <c r="F81" s="31" t="inlineStr">
        <is>
          <t>https://www.sec.gov/Archives/edgar/data/1045810/000104581025000023/0001045810-25-000023-index.htm</t>
        </is>
      </c>
    </row>
    <row r="82">
      <c r="B82" s="30" t="n">
        <v>74</v>
      </c>
      <c r="C82" s="15" t="inlineStr">
        <is>
          <t>NVDA FY2026 10-K</t>
        </is>
      </c>
      <c r="D82" s="30" t="inlineStr">
        <is>
          <t>us-gaap:ResearchAndDevelopmentExpense · period ending 2026-01-25 · USD · filed 2026-02-25</t>
        </is>
      </c>
      <c r="E82" s="30" t="inlineStr">
        <is>
          <t>0001045810-26-000021</t>
        </is>
      </c>
      <c r="F82" s="31" t="inlineStr">
        <is>
          <t>https://www.sec.gov/Archives/edgar/data/1045810/000104581026000021/0001045810-26-000021-index.htm</t>
        </is>
      </c>
    </row>
    <row r="83">
      <c r="B83" s="30" t="n">
        <v>75</v>
      </c>
      <c r="C83" s="15" t="inlineStr">
        <is>
          <t>NVDA FY2022 10-K</t>
        </is>
      </c>
      <c r="D83" s="30" t="inlineStr">
        <is>
          <t>us-gaap:SellingGeneralAndAdministrativeExpense · period ending 2022-01-30 · USD · filed 2022-03-18</t>
        </is>
      </c>
      <c r="E83" s="30" t="inlineStr">
        <is>
          <t>0001045810-22-000036</t>
        </is>
      </c>
      <c r="F83" s="31" t="inlineStr">
        <is>
          <t>https://www.sec.gov/Archives/edgar/data/1045810/000104581022000036/0001045810-22-000036-index.htm</t>
        </is>
      </c>
    </row>
    <row r="84">
      <c r="B84" s="30" t="n">
        <v>76</v>
      </c>
      <c r="C84" s="15" t="inlineStr">
        <is>
          <t>NVDA FY2023 10-K</t>
        </is>
      </c>
      <c r="D84" s="30" t="inlineStr">
        <is>
          <t>us-gaap:SellingGeneralAndAdministrativeExpense · period ending 2023-01-29 · USD · filed 2023-02-24</t>
        </is>
      </c>
      <c r="E84" s="30" t="inlineStr">
        <is>
          <t>0001045810-23-000017</t>
        </is>
      </c>
      <c r="F84" s="31" t="inlineStr">
        <is>
          <t>https://www.sec.gov/Archives/edgar/data/1045810/000104581023000017/0001045810-23-000017-index.htm</t>
        </is>
      </c>
    </row>
    <row r="85">
      <c r="B85" s="30" t="n">
        <v>77</v>
      </c>
      <c r="C85" s="15" t="inlineStr">
        <is>
          <t>NVDA FY2024 10-K</t>
        </is>
      </c>
      <c r="D85" s="30" t="inlineStr">
        <is>
          <t>us-gaap:SellingGeneralAndAdministrativeExpense · period ending 2024-01-28 · USD · filed 2024-02-21</t>
        </is>
      </c>
      <c r="E85" s="30" t="inlineStr">
        <is>
          <t>0001045810-24-000029</t>
        </is>
      </c>
      <c r="F85" s="31" t="inlineStr">
        <is>
          <t>https://www.sec.gov/Archives/edgar/data/1045810/000104581024000029/0001045810-24-000029-index.htm</t>
        </is>
      </c>
    </row>
    <row r="86">
      <c r="B86" s="30" t="n">
        <v>78</v>
      </c>
      <c r="C86" s="15" t="inlineStr">
        <is>
          <t>NVDA FY2025 10-K</t>
        </is>
      </c>
      <c r="D86" s="30" t="inlineStr">
        <is>
          <t>us-gaap:SellingGeneralAndAdministrativeExpense · period ending 2025-01-26 · USD · filed 2025-02-26</t>
        </is>
      </c>
      <c r="E86" s="30" t="inlineStr">
        <is>
          <t>0001045810-25-000023</t>
        </is>
      </c>
      <c r="F86" s="31" t="inlineStr">
        <is>
          <t>https://www.sec.gov/Archives/edgar/data/1045810/000104581025000023/0001045810-25-000023-index.htm</t>
        </is>
      </c>
    </row>
    <row r="87">
      <c r="B87" s="30" t="n">
        <v>79</v>
      </c>
      <c r="C87" s="15" t="inlineStr">
        <is>
          <t>NVDA FY2026 10-K</t>
        </is>
      </c>
      <c r="D87" s="30" t="inlineStr">
        <is>
          <t>us-gaap:SellingGeneralAndAdministrativeExpense · period ending 2026-01-25 · USD · filed 2026-02-25</t>
        </is>
      </c>
      <c r="E87" s="30" t="inlineStr">
        <is>
          <t>0001045810-26-000021</t>
        </is>
      </c>
      <c r="F87" s="31" t="inlineStr">
        <is>
          <t>https://www.sec.gov/Archives/edgar/data/1045810/000104581026000021/0001045810-26-000021-index.htm</t>
        </is>
      </c>
    </row>
    <row r="88">
      <c r="B88" s="30" t="n">
        <v>80</v>
      </c>
      <c r="C88" s="15" t="inlineStr">
        <is>
          <t>NVDA FY2022 10-K</t>
        </is>
      </c>
      <c r="D88" s="30" t="inlineStr">
        <is>
          <t>us-gaap:InterestExpense · period ending 2022-01-30 · USD · filed 2022-03-18</t>
        </is>
      </c>
      <c r="E88" s="30" t="inlineStr">
        <is>
          <t>0001045810-22-000036</t>
        </is>
      </c>
      <c r="F88" s="31" t="inlineStr">
        <is>
          <t>https://www.sec.gov/Archives/edgar/data/1045810/000104581022000036/0001045810-22-000036-index.htm</t>
        </is>
      </c>
    </row>
    <row r="89">
      <c r="B89" s="30" t="n">
        <v>81</v>
      </c>
      <c r="C89" s="15" t="inlineStr">
        <is>
          <t>NVDA FY2023 10-K</t>
        </is>
      </c>
      <c r="D89" s="30" t="inlineStr">
        <is>
          <t>us-gaap:InterestExpense · period ending 2023-01-29 · USD · filed 2023-02-24</t>
        </is>
      </c>
      <c r="E89" s="30" t="inlineStr">
        <is>
          <t>0001045810-23-000017</t>
        </is>
      </c>
      <c r="F89" s="31" t="inlineStr">
        <is>
          <t>https://www.sec.gov/Archives/edgar/data/1045810/000104581023000017/0001045810-23-000017-index.htm</t>
        </is>
      </c>
    </row>
    <row r="90">
      <c r="B90" s="30" t="n">
        <v>82</v>
      </c>
      <c r="C90" s="15" t="inlineStr">
        <is>
          <t>NVDA FY2024 10-K</t>
        </is>
      </c>
      <c r="D90" s="30" t="inlineStr">
        <is>
          <t>us-gaap:InterestExpense · period ending 2024-01-28 · USD · filed 2024-02-21</t>
        </is>
      </c>
      <c r="E90" s="30" t="inlineStr">
        <is>
          <t>0001045810-24-000029</t>
        </is>
      </c>
      <c r="F90" s="31" t="inlineStr">
        <is>
          <t>https://www.sec.gov/Archives/edgar/data/1045810/000104581024000029/0001045810-24-000029-index.htm</t>
        </is>
      </c>
    </row>
    <row r="91">
      <c r="B91" s="30" t="n">
        <v>83</v>
      </c>
      <c r="C91" s="15" t="inlineStr">
        <is>
          <t>NVDA FY2022 10-K</t>
        </is>
      </c>
      <c r="D91" s="30" t="inlineStr">
        <is>
          <t>us-gaap:IncomeLossFromContinuingOperationsBeforeIncomeTaxesExtraordinaryItemsNoncontrollingInterest · period ending 2022-01-30 · USD · filed 2022-03-18</t>
        </is>
      </c>
      <c r="E91" s="30" t="inlineStr">
        <is>
          <t>0001045810-22-000036</t>
        </is>
      </c>
      <c r="F91" s="31" t="inlineStr">
        <is>
          <t>https://www.sec.gov/Archives/edgar/data/1045810/000104581022000036/0001045810-22-000036-index.htm</t>
        </is>
      </c>
    </row>
    <row r="92">
      <c r="B92" s="30" t="n">
        <v>84</v>
      </c>
      <c r="C92" s="15" t="inlineStr">
        <is>
          <t>NVDA FY2023 10-K</t>
        </is>
      </c>
      <c r="D92" s="30" t="inlineStr">
        <is>
          <t>us-gaap:IncomeLossFromContinuingOperationsBeforeIncomeTaxesExtraordinaryItemsNoncontrollingInterest · period ending 2023-01-29 · USD · filed 2023-02-24</t>
        </is>
      </c>
      <c r="E92" s="30" t="inlineStr">
        <is>
          <t>0001045810-23-000017</t>
        </is>
      </c>
      <c r="F92" s="31" t="inlineStr">
        <is>
          <t>https://www.sec.gov/Archives/edgar/data/1045810/000104581023000017/0001045810-23-000017-index.htm</t>
        </is>
      </c>
    </row>
    <row r="93">
      <c r="B93" s="30" t="n">
        <v>85</v>
      </c>
      <c r="C93" s="15" t="inlineStr">
        <is>
          <t>NVDA FY2024 10-K</t>
        </is>
      </c>
      <c r="D93" s="30" t="inlineStr">
        <is>
          <t>us-gaap:IncomeLossFromContinuingOperationsBeforeIncomeTaxesExtraordinaryItemsNoncontrollingInterest · period ending 2024-01-28 · USD · filed 2024-02-21</t>
        </is>
      </c>
      <c r="E93" s="30" t="inlineStr">
        <is>
          <t>0001045810-24-000029</t>
        </is>
      </c>
      <c r="F93" s="31" t="inlineStr">
        <is>
          <t>https://www.sec.gov/Archives/edgar/data/1045810/000104581024000029/0001045810-24-000029-index.htm</t>
        </is>
      </c>
    </row>
    <row r="94">
      <c r="B94" s="30" t="n">
        <v>86</v>
      </c>
      <c r="C94" s="15" t="inlineStr">
        <is>
          <t>NVDA FY2025 10-K</t>
        </is>
      </c>
      <c r="D94" s="30" t="inlineStr">
        <is>
          <t>us-gaap:IncomeLossFromContinuingOperationsBeforeIncomeTaxesExtraordinaryItemsNoncontrollingInterest · period ending 2025-01-26 · USD · filed 2025-02-26</t>
        </is>
      </c>
      <c r="E94" s="30" t="inlineStr">
        <is>
          <t>0001045810-25-000023</t>
        </is>
      </c>
      <c r="F94" s="31" t="inlineStr">
        <is>
          <t>https://www.sec.gov/Archives/edgar/data/1045810/000104581025000023/0001045810-25-000023-index.htm</t>
        </is>
      </c>
    </row>
    <row r="95">
      <c r="B95" s="30" t="n">
        <v>87</v>
      </c>
      <c r="C95" s="15" t="inlineStr">
        <is>
          <t>NVDA FY2026 10-K</t>
        </is>
      </c>
      <c r="D95" s="30" t="inlineStr">
        <is>
          <t>us-gaap:IncomeLossFromContinuingOperationsBeforeIncomeTaxesExtraordinaryItemsNoncontrollingInterest · period ending 2026-01-25 · USD · filed 2026-02-25</t>
        </is>
      </c>
      <c r="E95" s="30" t="inlineStr">
        <is>
          <t>0001045810-26-000021</t>
        </is>
      </c>
      <c r="F95" s="31" t="inlineStr">
        <is>
          <t>https://www.sec.gov/Archives/edgar/data/1045810/000104581026000021/0001045810-26-000021-index.htm</t>
        </is>
      </c>
    </row>
    <row r="96">
      <c r="B96" s="30" t="n">
        <v>88</v>
      </c>
      <c r="C96" s="15" t="inlineStr">
        <is>
          <t>NVDA FY2022 10-K</t>
        </is>
      </c>
      <c r="D96" s="30" t="inlineStr">
        <is>
          <t>us-gaap:IncomeTaxExpenseBenefit · period ending 2022-01-30 · USD · filed 2022-03-18</t>
        </is>
      </c>
      <c r="E96" s="30" t="inlineStr">
        <is>
          <t>0001045810-22-000036</t>
        </is>
      </c>
      <c r="F96" s="31" t="inlineStr">
        <is>
          <t>https://www.sec.gov/Archives/edgar/data/1045810/000104581022000036/0001045810-22-000036-index.htm</t>
        </is>
      </c>
    </row>
    <row r="97">
      <c r="B97" s="30" t="n">
        <v>89</v>
      </c>
      <c r="C97" s="15" t="inlineStr">
        <is>
          <t>NVDA FY2023 10-K</t>
        </is>
      </c>
      <c r="D97" s="30" t="inlineStr">
        <is>
          <t>us-gaap:IncomeTaxExpenseBenefit · period ending 2023-01-29 · USD · filed 2023-02-24</t>
        </is>
      </c>
      <c r="E97" s="30" t="inlineStr">
        <is>
          <t>0001045810-23-000017</t>
        </is>
      </c>
      <c r="F97" s="31" t="inlineStr">
        <is>
          <t>https://www.sec.gov/Archives/edgar/data/1045810/000104581023000017/0001045810-23-000017-index.htm</t>
        </is>
      </c>
    </row>
    <row r="98">
      <c r="B98" s="30" t="n">
        <v>90</v>
      </c>
      <c r="C98" s="15" t="inlineStr">
        <is>
          <t>NVDA FY2024 10-K</t>
        </is>
      </c>
      <c r="D98" s="30" t="inlineStr">
        <is>
          <t>us-gaap:IncomeTaxExpenseBenefit · period ending 2024-01-28 · USD · filed 2024-02-21</t>
        </is>
      </c>
      <c r="E98" s="30" t="inlineStr">
        <is>
          <t>0001045810-24-000029</t>
        </is>
      </c>
      <c r="F98" s="31" t="inlineStr">
        <is>
          <t>https://www.sec.gov/Archives/edgar/data/1045810/000104581024000029/0001045810-24-000029-index.htm</t>
        </is>
      </c>
    </row>
    <row r="99">
      <c r="B99" s="30" t="n">
        <v>91</v>
      </c>
      <c r="C99" s="15" t="inlineStr">
        <is>
          <t>NVDA FY2025 10-K</t>
        </is>
      </c>
      <c r="D99" s="30" t="inlineStr">
        <is>
          <t>us-gaap:IncomeTaxExpenseBenefit · period ending 2025-01-26 · USD · filed 2025-02-26</t>
        </is>
      </c>
      <c r="E99" s="30" t="inlineStr">
        <is>
          <t>0001045810-25-000023</t>
        </is>
      </c>
      <c r="F99" s="31" t="inlineStr">
        <is>
          <t>https://www.sec.gov/Archives/edgar/data/1045810/000104581025000023/0001045810-25-000023-index.htm</t>
        </is>
      </c>
    </row>
    <row r="100">
      <c r="B100" s="30" t="n">
        <v>92</v>
      </c>
      <c r="C100" s="15" t="inlineStr">
        <is>
          <t>NVDA FY2026 10-K</t>
        </is>
      </c>
      <c r="D100" s="30" t="inlineStr">
        <is>
          <t>us-gaap:IncomeTaxExpenseBenefit · period ending 2026-01-25 · USD · filed 2026-02-25</t>
        </is>
      </c>
      <c r="E100" s="30" t="inlineStr">
        <is>
          <t>0001045810-26-000021</t>
        </is>
      </c>
      <c r="F100" s="31" t="inlineStr">
        <is>
          <t>https://www.sec.gov/Archives/edgar/data/1045810/000104581026000021/0001045810-26-000021-index.htm</t>
        </is>
      </c>
    </row>
    <row r="101">
      <c r="B101" s="30" t="n">
        <v>93</v>
      </c>
      <c r="C101" s="15" t="inlineStr">
        <is>
          <t>NVDA FY2022 10-K</t>
        </is>
      </c>
      <c r="D101" s="30" t="inlineStr">
        <is>
          <t>us-gaap:AccountsReceivableNetCurrent · period ending 2022-01-30 · USD · filed 2022-03-18</t>
        </is>
      </c>
      <c r="E101" s="30" t="inlineStr">
        <is>
          <t>0001045810-22-000036</t>
        </is>
      </c>
      <c r="F101" s="31" t="inlineStr">
        <is>
          <t>https://www.sec.gov/Archives/edgar/data/1045810/000104581022000036/0001045810-22-000036-index.htm</t>
        </is>
      </c>
    </row>
    <row r="102">
      <c r="B102" s="30" t="n">
        <v>94</v>
      </c>
      <c r="C102" s="15" t="inlineStr">
        <is>
          <t>NVDA FY2023 10-K</t>
        </is>
      </c>
      <c r="D102" s="30" t="inlineStr">
        <is>
          <t>us-gaap:AccountsReceivableNetCurrent · period ending 2023-01-29 · USD · filed 2023-02-24</t>
        </is>
      </c>
      <c r="E102" s="30" t="inlineStr">
        <is>
          <t>0001045810-23-000017</t>
        </is>
      </c>
      <c r="F102" s="31" t="inlineStr">
        <is>
          <t>https://www.sec.gov/Archives/edgar/data/1045810/000104581023000017/0001045810-23-000017-index.htm</t>
        </is>
      </c>
    </row>
    <row r="103">
      <c r="B103" s="30" t="n">
        <v>95</v>
      </c>
      <c r="C103" s="15" t="inlineStr">
        <is>
          <t>NVDA FY2024 10-K</t>
        </is>
      </c>
      <c r="D103" s="30" t="inlineStr">
        <is>
          <t>us-gaap:AccountsReceivableNetCurrent · period ending 2024-01-28 · USD · filed 2024-02-21</t>
        </is>
      </c>
      <c r="E103" s="30" t="inlineStr">
        <is>
          <t>0001045810-24-000029</t>
        </is>
      </c>
      <c r="F103" s="31" t="inlineStr">
        <is>
          <t>https://www.sec.gov/Archives/edgar/data/1045810/000104581024000029/0001045810-24-000029-index.htm</t>
        </is>
      </c>
    </row>
    <row r="104">
      <c r="B104" s="30" t="n">
        <v>96</v>
      </c>
      <c r="C104" s="15" t="inlineStr">
        <is>
          <t>NVDA FY2025 10-K</t>
        </is>
      </c>
      <c r="D104" s="30" t="inlineStr">
        <is>
          <t>us-gaap:AccountsReceivableNetCurrent · period ending 2025-01-26 · USD · filed 2025-02-26</t>
        </is>
      </c>
      <c r="E104" s="30" t="inlineStr">
        <is>
          <t>0001045810-25-000023</t>
        </is>
      </c>
      <c r="F104" s="31" t="inlineStr">
        <is>
          <t>https://www.sec.gov/Archives/edgar/data/1045810/000104581025000023/0001045810-25-000023-index.htm</t>
        </is>
      </c>
    </row>
    <row r="105">
      <c r="B105" s="30" t="n">
        <v>97</v>
      </c>
      <c r="C105" s="15" t="inlineStr">
        <is>
          <t>NVDA FY2026 10-K</t>
        </is>
      </c>
      <c r="D105" s="30" t="inlineStr">
        <is>
          <t>us-gaap:AccountsReceivableNetCurrent · period ending 2026-01-25 · USD · filed 2026-02-25</t>
        </is>
      </c>
      <c r="E105" s="30" t="inlineStr">
        <is>
          <t>0001045810-26-000021</t>
        </is>
      </c>
      <c r="F105" s="31" t="inlineStr">
        <is>
          <t>https://www.sec.gov/Archives/edgar/data/1045810/000104581026000021/0001045810-26-000021-index.htm</t>
        </is>
      </c>
    </row>
    <row r="106">
      <c r="B106" s="30" t="n">
        <v>98</v>
      </c>
      <c r="C106" s="15" t="inlineStr">
        <is>
          <t>NVDA FY2022 10-K</t>
        </is>
      </c>
      <c r="D106" s="30" t="inlineStr">
        <is>
          <t>us-gaap:InventoryNet · period ending 2022-01-30 · USD · filed 2022-03-18</t>
        </is>
      </c>
      <c r="E106" s="30" t="inlineStr">
        <is>
          <t>0001045810-22-000036</t>
        </is>
      </c>
      <c r="F106" s="31" t="inlineStr">
        <is>
          <t>https://www.sec.gov/Archives/edgar/data/1045810/000104581022000036/0001045810-22-000036-index.htm</t>
        </is>
      </c>
    </row>
    <row r="107">
      <c r="B107" s="30" t="n">
        <v>99</v>
      </c>
      <c r="C107" s="15" t="inlineStr">
        <is>
          <t>NVDA FY2023 10-K</t>
        </is>
      </c>
      <c r="D107" s="30" t="inlineStr">
        <is>
          <t>us-gaap:InventoryNet · period ending 2023-01-29 · USD · filed 2023-02-24</t>
        </is>
      </c>
      <c r="E107" s="30" t="inlineStr">
        <is>
          <t>0001045810-23-000017</t>
        </is>
      </c>
      <c r="F107" s="31" t="inlineStr">
        <is>
          <t>https://www.sec.gov/Archives/edgar/data/1045810/000104581023000017/0001045810-23-000017-index.htm</t>
        </is>
      </c>
    </row>
    <row r="108">
      <c r="B108" s="30" t="n">
        <v>100</v>
      </c>
      <c r="C108" s="15" t="inlineStr">
        <is>
          <t>NVDA FY2024 10-K</t>
        </is>
      </c>
      <c r="D108" s="30" t="inlineStr">
        <is>
          <t>us-gaap:InventoryNet · period ending 2024-01-28 · USD · filed 2024-02-21</t>
        </is>
      </c>
      <c r="E108" s="30" t="inlineStr">
        <is>
          <t>0001045810-24-000029</t>
        </is>
      </c>
      <c r="F108" s="31" t="inlineStr">
        <is>
          <t>https://www.sec.gov/Archives/edgar/data/1045810/000104581024000029/0001045810-24-000029-index.htm</t>
        </is>
      </c>
    </row>
    <row r="109">
      <c r="B109" s="30" t="n">
        <v>101</v>
      </c>
      <c r="C109" s="15" t="inlineStr">
        <is>
          <t>NVDA FY2025 10-K</t>
        </is>
      </c>
      <c r="D109" s="30" t="inlineStr">
        <is>
          <t>us-gaap:InventoryNet · period ending 2025-01-26 · USD · filed 2025-02-26</t>
        </is>
      </c>
      <c r="E109" s="30" t="inlineStr">
        <is>
          <t>0001045810-25-000023</t>
        </is>
      </c>
      <c r="F109" s="31" t="inlineStr">
        <is>
          <t>https://www.sec.gov/Archives/edgar/data/1045810/000104581025000023/0001045810-25-000023-index.htm</t>
        </is>
      </c>
    </row>
    <row r="110">
      <c r="B110" s="30" t="n">
        <v>102</v>
      </c>
      <c r="C110" s="15" t="inlineStr">
        <is>
          <t>NVDA FY2026 10-K</t>
        </is>
      </c>
      <c r="D110" s="30" t="inlineStr">
        <is>
          <t>us-gaap:InventoryNet · period ending 2026-01-25 · USD · filed 2026-02-25</t>
        </is>
      </c>
      <c r="E110" s="30" t="inlineStr">
        <is>
          <t>0001045810-26-000021</t>
        </is>
      </c>
      <c r="F110" s="31" t="inlineStr">
        <is>
          <t>https://www.sec.gov/Archives/edgar/data/1045810/000104581026000021/0001045810-26-000021-index.htm</t>
        </is>
      </c>
    </row>
    <row r="111">
      <c r="B111" s="30" t="n">
        <v>103</v>
      </c>
      <c r="C111" s="15" t="inlineStr">
        <is>
          <t>NVDA FY2022 10-K</t>
        </is>
      </c>
      <c r="D111" s="30" t="inlineStr">
        <is>
          <t>us-gaap:AssetsCurrent · period ending 2022-01-30 · USD · filed 2022-03-18</t>
        </is>
      </c>
      <c r="E111" s="30" t="inlineStr">
        <is>
          <t>0001045810-22-000036</t>
        </is>
      </c>
      <c r="F111" s="31" t="inlineStr">
        <is>
          <t>https://www.sec.gov/Archives/edgar/data/1045810/000104581022000036/0001045810-22-000036-index.htm</t>
        </is>
      </c>
    </row>
    <row r="112">
      <c r="B112" s="30" t="n">
        <v>104</v>
      </c>
      <c r="C112" s="15" t="inlineStr">
        <is>
          <t>NVDA FY2023 10-K</t>
        </is>
      </c>
      <c r="D112" s="30" t="inlineStr">
        <is>
          <t>us-gaap:AssetsCurrent · period ending 2023-01-29 · USD · filed 2023-02-24</t>
        </is>
      </c>
      <c r="E112" s="30" t="inlineStr">
        <is>
          <t>0001045810-23-000017</t>
        </is>
      </c>
      <c r="F112" s="31" t="inlineStr">
        <is>
          <t>https://www.sec.gov/Archives/edgar/data/1045810/000104581023000017/0001045810-23-000017-index.htm</t>
        </is>
      </c>
    </row>
    <row r="113">
      <c r="B113" s="30" t="n">
        <v>105</v>
      </c>
      <c r="C113" s="15" t="inlineStr">
        <is>
          <t>NVDA FY2024 10-K</t>
        </is>
      </c>
      <c r="D113" s="30" t="inlineStr">
        <is>
          <t>us-gaap:AssetsCurrent · period ending 2024-01-28 · USD · filed 2024-02-21</t>
        </is>
      </c>
      <c r="E113" s="30" t="inlineStr">
        <is>
          <t>0001045810-24-000029</t>
        </is>
      </c>
      <c r="F113" s="31" t="inlineStr">
        <is>
          <t>https://www.sec.gov/Archives/edgar/data/1045810/000104581024000029/0001045810-24-000029-index.htm</t>
        </is>
      </c>
    </row>
    <row r="114">
      <c r="B114" s="30" t="n">
        <v>106</v>
      </c>
      <c r="C114" s="15" t="inlineStr">
        <is>
          <t>NVDA FY2025 10-K</t>
        </is>
      </c>
      <c r="D114" s="30" t="inlineStr">
        <is>
          <t>us-gaap:AssetsCurrent · period ending 2025-01-26 · USD · filed 2025-02-26</t>
        </is>
      </c>
      <c r="E114" s="30" t="inlineStr">
        <is>
          <t>0001045810-25-000023</t>
        </is>
      </c>
      <c r="F114" s="31" t="inlineStr">
        <is>
          <t>https://www.sec.gov/Archives/edgar/data/1045810/000104581025000023/0001045810-25-000023-index.htm</t>
        </is>
      </c>
    </row>
    <row r="115">
      <c r="B115" s="30" t="n">
        <v>107</v>
      </c>
      <c r="C115" s="15" t="inlineStr">
        <is>
          <t>NVDA FY2026 10-K</t>
        </is>
      </c>
      <c r="D115" s="30" t="inlineStr">
        <is>
          <t>us-gaap:AssetsCurrent · period ending 2026-01-25 · USD · filed 2026-02-25</t>
        </is>
      </c>
      <c r="E115" s="30" t="inlineStr">
        <is>
          <t>0001045810-26-000021</t>
        </is>
      </c>
      <c r="F115" s="31" t="inlineStr">
        <is>
          <t>https://www.sec.gov/Archives/edgar/data/1045810/000104581026000021/0001045810-26-000021-index.htm</t>
        </is>
      </c>
    </row>
    <row r="116">
      <c r="B116" s="30" t="n">
        <v>108</v>
      </c>
      <c r="C116" s="15" t="inlineStr">
        <is>
          <t>NVDA FY2022 10-K</t>
        </is>
      </c>
      <c r="D116" s="30" t="inlineStr">
        <is>
          <t>us-gaap:PropertyPlantAndEquipmentNet · period ending 2022-01-30 · USD · filed 2022-03-18</t>
        </is>
      </c>
      <c r="E116" s="30" t="inlineStr">
        <is>
          <t>0001045810-22-000036</t>
        </is>
      </c>
      <c r="F116" s="31" t="inlineStr">
        <is>
          <t>https://www.sec.gov/Archives/edgar/data/1045810/000104581022000036/0001045810-22-000036-index.htm</t>
        </is>
      </c>
    </row>
    <row r="117">
      <c r="B117" s="30" t="n">
        <v>109</v>
      </c>
      <c r="C117" s="15" t="inlineStr">
        <is>
          <t>NVDA FY2023 10-K</t>
        </is>
      </c>
      <c r="D117" s="30" t="inlineStr">
        <is>
          <t>us-gaap:PropertyPlantAndEquipmentNet · period ending 2023-01-29 · USD · filed 2023-02-24</t>
        </is>
      </c>
      <c r="E117" s="30" t="inlineStr">
        <is>
          <t>0001045810-23-000017</t>
        </is>
      </c>
      <c r="F117" s="31" t="inlineStr">
        <is>
          <t>https://www.sec.gov/Archives/edgar/data/1045810/000104581023000017/0001045810-23-000017-index.htm</t>
        </is>
      </c>
    </row>
    <row r="118">
      <c r="B118" s="30" t="n">
        <v>110</v>
      </c>
      <c r="C118" s="15" t="inlineStr">
        <is>
          <t>NVDA FY2024 10-K</t>
        </is>
      </c>
      <c r="D118" s="30" t="inlineStr">
        <is>
          <t>us-gaap:PropertyPlantAndEquipmentNet · period ending 2024-01-28 · USD · filed 2024-02-21</t>
        </is>
      </c>
      <c r="E118" s="30" t="inlineStr">
        <is>
          <t>0001045810-24-000029</t>
        </is>
      </c>
      <c r="F118" s="31" t="inlineStr">
        <is>
          <t>https://www.sec.gov/Archives/edgar/data/1045810/000104581024000029/0001045810-24-000029-index.htm</t>
        </is>
      </c>
    </row>
    <row r="119">
      <c r="B119" s="30" t="n">
        <v>111</v>
      </c>
      <c r="C119" s="15" t="inlineStr">
        <is>
          <t>NVDA FY2025 10-K</t>
        </is>
      </c>
      <c r="D119" s="30" t="inlineStr">
        <is>
          <t>us-gaap:PropertyPlantAndEquipmentNet · period ending 2025-01-26 · USD · filed 2025-02-26</t>
        </is>
      </c>
      <c r="E119" s="30" t="inlineStr">
        <is>
          <t>0001045810-25-000023</t>
        </is>
      </c>
      <c r="F119" s="31" t="inlineStr">
        <is>
          <t>https://www.sec.gov/Archives/edgar/data/1045810/000104581025000023/0001045810-25-000023-index.htm</t>
        </is>
      </c>
    </row>
    <row r="120">
      <c r="B120" s="30" t="n">
        <v>112</v>
      </c>
      <c r="C120" s="15" t="inlineStr">
        <is>
          <t>NVDA FY2026 10-K</t>
        </is>
      </c>
      <c r="D120" s="30" t="inlineStr">
        <is>
          <t>us-gaap:PropertyPlantAndEquipmentNet · period ending 2026-01-25 · USD · filed 2026-02-25</t>
        </is>
      </c>
      <c r="E120" s="30" t="inlineStr">
        <is>
          <t>0001045810-26-000021</t>
        </is>
      </c>
      <c r="F120" s="31" t="inlineStr">
        <is>
          <t>https://www.sec.gov/Archives/edgar/data/1045810/000104581026000021/0001045810-26-000021-index.htm</t>
        </is>
      </c>
    </row>
    <row r="121">
      <c r="B121" s="30" t="n">
        <v>113</v>
      </c>
      <c r="C121" s="15" t="inlineStr">
        <is>
          <t>NVDA FY2022 10-K</t>
        </is>
      </c>
      <c r="D121" s="30" t="inlineStr">
        <is>
          <t>us-gaap:Goodwill · period ending 2022-01-30 · USD · filed 2022-03-18</t>
        </is>
      </c>
      <c r="E121" s="30" t="inlineStr">
        <is>
          <t>0001045810-22-000036</t>
        </is>
      </c>
      <c r="F121" s="31" t="inlineStr">
        <is>
          <t>https://www.sec.gov/Archives/edgar/data/1045810/000104581022000036/0001045810-22-000036-index.htm</t>
        </is>
      </c>
    </row>
    <row r="122">
      <c r="B122" s="30" t="n">
        <v>114</v>
      </c>
      <c r="C122" s="15" t="inlineStr">
        <is>
          <t>NVDA FY2023 10-K</t>
        </is>
      </c>
      <c r="D122" s="30" t="inlineStr">
        <is>
          <t>us-gaap:Goodwill · period ending 2023-01-29 · USD · filed 2023-02-24</t>
        </is>
      </c>
      <c r="E122" s="30" t="inlineStr">
        <is>
          <t>0001045810-23-000017</t>
        </is>
      </c>
      <c r="F122" s="31" t="inlineStr">
        <is>
          <t>https://www.sec.gov/Archives/edgar/data/1045810/000104581023000017/0001045810-23-000017-index.htm</t>
        </is>
      </c>
    </row>
    <row r="123">
      <c r="B123" s="30" t="n">
        <v>115</v>
      </c>
      <c r="C123" s="15" t="inlineStr">
        <is>
          <t>NVDA FY2024 10-K</t>
        </is>
      </c>
      <c r="D123" s="30" t="inlineStr">
        <is>
          <t>us-gaap:Goodwill · period ending 2024-01-28 · USD · filed 2024-02-21</t>
        </is>
      </c>
      <c r="E123" s="30" t="inlineStr">
        <is>
          <t>0001045810-24-000029</t>
        </is>
      </c>
      <c r="F123" s="31" t="inlineStr">
        <is>
          <t>https://www.sec.gov/Archives/edgar/data/1045810/000104581024000029/0001045810-24-000029-index.htm</t>
        </is>
      </c>
    </row>
    <row r="124">
      <c r="B124" s="30" t="n">
        <v>116</v>
      </c>
      <c r="C124" s="15" t="inlineStr">
        <is>
          <t>NVDA FY2025 10-K</t>
        </is>
      </c>
      <c r="D124" s="30" t="inlineStr">
        <is>
          <t>us-gaap:Goodwill · period ending 2025-01-26 · USD · filed 2025-02-26</t>
        </is>
      </c>
      <c r="E124" s="30" t="inlineStr">
        <is>
          <t>0001045810-25-000023</t>
        </is>
      </c>
      <c r="F124" s="31" t="inlineStr">
        <is>
          <t>https://www.sec.gov/Archives/edgar/data/1045810/000104581025000023/0001045810-25-000023-index.htm</t>
        </is>
      </c>
    </row>
    <row r="125">
      <c r="B125" s="30" t="n">
        <v>117</v>
      </c>
      <c r="C125" s="15" t="inlineStr">
        <is>
          <t>NVDA FY2026 10-K</t>
        </is>
      </c>
      <c r="D125" s="30" t="inlineStr">
        <is>
          <t>us-gaap:Goodwill · period ending 2026-01-25 · USD · filed 2026-02-25</t>
        </is>
      </c>
      <c r="E125" s="30" t="inlineStr">
        <is>
          <t>0001045810-26-000021</t>
        </is>
      </c>
      <c r="F125" s="31" t="inlineStr">
        <is>
          <t>https://www.sec.gov/Archives/edgar/data/1045810/000104581026000021/0001045810-26-000021-index.htm</t>
        </is>
      </c>
    </row>
    <row r="126">
      <c r="B126" s="30" t="n">
        <v>118</v>
      </c>
      <c r="C126" s="15" t="inlineStr">
        <is>
          <t>NVDA FY2022 10-K</t>
        </is>
      </c>
      <c r="D126" s="30" t="inlineStr">
        <is>
          <t>us-gaap:Assets · period ending 2022-01-30 · USD · filed 2022-03-18</t>
        </is>
      </c>
      <c r="E126" s="30" t="inlineStr">
        <is>
          <t>0001045810-22-000036</t>
        </is>
      </c>
      <c r="F126" s="31" t="inlineStr">
        <is>
          <t>https://www.sec.gov/Archives/edgar/data/1045810/000104581022000036/0001045810-22-000036-index.htm</t>
        </is>
      </c>
    </row>
    <row r="127">
      <c r="B127" s="30" t="n">
        <v>119</v>
      </c>
      <c r="C127" s="15" t="inlineStr">
        <is>
          <t>NVDA FY2023 10-K</t>
        </is>
      </c>
      <c r="D127" s="30" t="inlineStr">
        <is>
          <t>us-gaap:Assets · period ending 2023-01-29 · USD · filed 2023-02-24</t>
        </is>
      </c>
      <c r="E127" s="30" t="inlineStr">
        <is>
          <t>0001045810-23-000017</t>
        </is>
      </c>
      <c r="F127" s="31" t="inlineStr">
        <is>
          <t>https://www.sec.gov/Archives/edgar/data/1045810/000104581023000017/0001045810-23-000017-index.htm</t>
        </is>
      </c>
    </row>
    <row r="128">
      <c r="B128" s="30" t="n">
        <v>120</v>
      </c>
      <c r="C128" s="15" t="inlineStr">
        <is>
          <t>NVDA FY2024 10-K</t>
        </is>
      </c>
      <c r="D128" s="30" t="inlineStr">
        <is>
          <t>us-gaap:Assets · period ending 2024-01-28 · USD · filed 2024-02-21</t>
        </is>
      </c>
      <c r="E128" s="30" t="inlineStr">
        <is>
          <t>0001045810-24-000029</t>
        </is>
      </c>
      <c r="F128" s="31" t="inlineStr">
        <is>
          <t>https://www.sec.gov/Archives/edgar/data/1045810/000104581024000029/0001045810-24-000029-index.htm</t>
        </is>
      </c>
    </row>
    <row r="129">
      <c r="B129" s="30" t="n">
        <v>121</v>
      </c>
      <c r="C129" s="15" t="inlineStr">
        <is>
          <t>NVDA FY2025 10-K</t>
        </is>
      </c>
      <c r="D129" s="30" t="inlineStr">
        <is>
          <t>us-gaap:Assets · period ending 2025-01-26 · USD · filed 2025-02-26</t>
        </is>
      </c>
      <c r="E129" s="30" t="inlineStr">
        <is>
          <t>0001045810-25-000023</t>
        </is>
      </c>
      <c r="F129" s="31" t="inlineStr">
        <is>
          <t>https://www.sec.gov/Archives/edgar/data/1045810/000104581025000023/0001045810-25-000023-index.htm</t>
        </is>
      </c>
    </row>
    <row r="130">
      <c r="B130" s="30" t="n">
        <v>122</v>
      </c>
      <c r="C130" s="15" t="inlineStr">
        <is>
          <t>NVDA FY2026 10-K</t>
        </is>
      </c>
      <c r="D130" s="30" t="inlineStr">
        <is>
          <t>us-gaap:Assets · period ending 2026-01-25 · USD · filed 2026-02-25</t>
        </is>
      </c>
      <c r="E130" s="30" t="inlineStr">
        <is>
          <t>0001045810-26-000021</t>
        </is>
      </c>
      <c r="F130" s="31" t="inlineStr">
        <is>
          <t>https://www.sec.gov/Archives/edgar/data/1045810/000104581026000021/0001045810-26-000021-index.htm</t>
        </is>
      </c>
    </row>
    <row r="131">
      <c r="B131" s="30" t="n">
        <v>123</v>
      </c>
      <c r="C131" s="15" t="inlineStr">
        <is>
          <t>NVDA FY2022 10-K</t>
        </is>
      </c>
      <c r="D131" s="30" t="inlineStr">
        <is>
          <t>us-gaap:AccountsPayableCurrent · period ending 2022-01-30 · USD · filed 2022-03-18</t>
        </is>
      </c>
      <c r="E131" s="30" t="inlineStr">
        <is>
          <t>0001045810-22-000036</t>
        </is>
      </c>
      <c r="F131" s="31" t="inlineStr">
        <is>
          <t>https://www.sec.gov/Archives/edgar/data/1045810/000104581022000036/0001045810-22-000036-index.htm</t>
        </is>
      </c>
    </row>
    <row r="132">
      <c r="B132" s="30" t="n">
        <v>124</v>
      </c>
      <c r="C132" s="15" t="inlineStr">
        <is>
          <t>NVDA FY2023 10-K</t>
        </is>
      </c>
      <c r="D132" s="30" t="inlineStr">
        <is>
          <t>us-gaap:AccountsPayableCurrent · period ending 2023-01-29 · USD · filed 2023-02-24</t>
        </is>
      </c>
      <c r="E132" s="30" t="inlineStr">
        <is>
          <t>0001045810-23-000017</t>
        </is>
      </c>
      <c r="F132" s="31" t="inlineStr">
        <is>
          <t>https://www.sec.gov/Archives/edgar/data/1045810/000104581023000017/0001045810-23-000017-index.htm</t>
        </is>
      </c>
    </row>
    <row r="133">
      <c r="B133" s="30" t="n">
        <v>125</v>
      </c>
      <c r="C133" s="15" t="inlineStr">
        <is>
          <t>NVDA FY2024 10-K</t>
        </is>
      </c>
      <c r="D133" s="30" t="inlineStr">
        <is>
          <t>us-gaap:AccountsPayableCurrent · period ending 2024-01-28 · USD · filed 2024-02-21</t>
        </is>
      </c>
      <c r="E133" s="30" t="inlineStr">
        <is>
          <t>0001045810-24-000029</t>
        </is>
      </c>
      <c r="F133" s="31" t="inlineStr">
        <is>
          <t>https://www.sec.gov/Archives/edgar/data/1045810/000104581024000029/0001045810-24-000029-index.htm</t>
        </is>
      </c>
    </row>
    <row r="134">
      <c r="B134" s="30" t="n">
        <v>126</v>
      </c>
      <c r="C134" s="15" t="inlineStr">
        <is>
          <t>NVDA FY2025 10-K</t>
        </is>
      </c>
      <c r="D134" s="30" t="inlineStr">
        <is>
          <t>us-gaap:AccountsPayableCurrent · period ending 2025-01-26 · USD · filed 2025-02-26</t>
        </is>
      </c>
      <c r="E134" s="30" t="inlineStr">
        <is>
          <t>0001045810-25-000023</t>
        </is>
      </c>
      <c r="F134" s="31" t="inlineStr">
        <is>
          <t>https://www.sec.gov/Archives/edgar/data/1045810/000104581025000023/0001045810-25-000023-index.htm</t>
        </is>
      </c>
    </row>
    <row r="135">
      <c r="B135" s="30" t="n">
        <v>127</v>
      </c>
      <c r="C135" s="15" t="inlineStr">
        <is>
          <t>NVDA FY2026 10-K</t>
        </is>
      </c>
      <c r="D135" s="30" t="inlineStr">
        <is>
          <t>us-gaap:AccountsPayableCurrent · period ending 2026-01-25 · USD · filed 2026-02-25</t>
        </is>
      </c>
      <c r="E135" s="30" t="inlineStr">
        <is>
          <t>0001045810-26-000021</t>
        </is>
      </c>
      <c r="F135" s="31" t="inlineStr">
        <is>
          <t>https://www.sec.gov/Archives/edgar/data/1045810/000104581026000021/0001045810-26-000021-index.htm</t>
        </is>
      </c>
    </row>
    <row r="136">
      <c r="B136" s="30" t="n">
        <v>128</v>
      </c>
      <c r="C136" s="15" t="inlineStr">
        <is>
          <t>NVDA FY2022 10-K</t>
        </is>
      </c>
      <c r="D136" s="30" t="inlineStr">
        <is>
          <t>us-gaap:LiabilitiesCurrent · period ending 2022-01-30 · USD · filed 2022-03-18</t>
        </is>
      </c>
      <c r="E136" s="30" t="inlineStr">
        <is>
          <t>0001045810-22-000036</t>
        </is>
      </c>
      <c r="F136" s="31" t="inlineStr">
        <is>
          <t>https://www.sec.gov/Archives/edgar/data/1045810/000104581022000036/0001045810-22-000036-index.htm</t>
        </is>
      </c>
    </row>
    <row r="137">
      <c r="B137" s="30" t="n">
        <v>129</v>
      </c>
      <c r="C137" s="15" t="inlineStr">
        <is>
          <t>NVDA FY2023 10-K</t>
        </is>
      </c>
      <c r="D137" s="30" t="inlineStr">
        <is>
          <t>us-gaap:LiabilitiesCurrent · period ending 2023-01-29 · USD · filed 2023-02-24</t>
        </is>
      </c>
      <c r="E137" s="30" t="inlineStr">
        <is>
          <t>0001045810-23-000017</t>
        </is>
      </c>
      <c r="F137" s="31" t="inlineStr">
        <is>
          <t>https://www.sec.gov/Archives/edgar/data/1045810/000104581023000017/0001045810-23-000017-index.htm</t>
        </is>
      </c>
    </row>
    <row r="138">
      <c r="B138" s="30" t="n">
        <v>130</v>
      </c>
      <c r="C138" s="15" t="inlineStr">
        <is>
          <t>NVDA FY2024 10-K</t>
        </is>
      </c>
      <c r="D138" s="30" t="inlineStr">
        <is>
          <t>us-gaap:LiabilitiesCurrent · period ending 2024-01-28 · USD · filed 2024-02-21</t>
        </is>
      </c>
      <c r="E138" s="30" t="inlineStr">
        <is>
          <t>0001045810-24-000029</t>
        </is>
      </c>
      <c r="F138" s="31" t="inlineStr">
        <is>
          <t>https://www.sec.gov/Archives/edgar/data/1045810/000104581024000029/0001045810-24-000029-index.htm</t>
        </is>
      </c>
    </row>
    <row r="139">
      <c r="B139" s="30" t="n">
        <v>131</v>
      </c>
      <c r="C139" s="15" t="inlineStr">
        <is>
          <t>NVDA FY2025 10-K</t>
        </is>
      </c>
      <c r="D139" s="30" t="inlineStr">
        <is>
          <t>us-gaap:LiabilitiesCurrent · period ending 2025-01-26 · USD · filed 2025-02-26</t>
        </is>
      </c>
      <c r="E139" s="30" t="inlineStr">
        <is>
          <t>0001045810-25-000023</t>
        </is>
      </c>
      <c r="F139" s="31" t="inlineStr">
        <is>
          <t>https://www.sec.gov/Archives/edgar/data/1045810/000104581025000023/0001045810-25-000023-index.htm</t>
        </is>
      </c>
    </row>
    <row r="140">
      <c r="B140" s="30" t="n">
        <v>132</v>
      </c>
      <c r="C140" s="15" t="inlineStr">
        <is>
          <t>NVDA FY2026 10-K</t>
        </is>
      </c>
      <c r="D140" s="30" t="inlineStr">
        <is>
          <t>us-gaap:LiabilitiesCurrent · period ending 2026-01-25 · USD · filed 2026-02-25</t>
        </is>
      </c>
      <c r="E140" s="30" t="inlineStr">
        <is>
          <t>0001045810-26-000021</t>
        </is>
      </c>
      <c r="F140" s="31" t="inlineStr">
        <is>
          <t>https://www.sec.gov/Archives/edgar/data/1045810/000104581026000021/0001045810-26-000021-index.htm</t>
        </is>
      </c>
    </row>
    <row r="141">
      <c r="B141" s="30" t="n">
        <v>133</v>
      </c>
      <c r="C141" s="15" t="inlineStr">
        <is>
          <t>NVDA FY2022 10-K</t>
        </is>
      </c>
      <c r="D141" s="30" t="inlineStr">
        <is>
          <t>us-gaap:Liabilities · period ending 2022-01-30 · USD · filed 2022-03-18</t>
        </is>
      </c>
      <c r="E141" s="30" t="inlineStr">
        <is>
          <t>0001045810-22-000036</t>
        </is>
      </c>
      <c r="F141" s="31" t="inlineStr">
        <is>
          <t>https://www.sec.gov/Archives/edgar/data/1045810/000104581022000036/0001045810-22-000036-index.htm</t>
        </is>
      </c>
    </row>
    <row r="142">
      <c r="B142" s="30" t="n">
        <v>134</v>
      </c>
      <c r="C142" s="15" t="inlineStr">
        <is>
          <t>NVDA FY2023 10-K</t>
        </is>
      </c>
      <c r="D142" s="30" t="inlineStr">
        <is>
          <t>us-gaap:Liabilities · period ending 2023-01-29 · USD · filed 2023-02-24</t>
        </is>
      </c>
      <c r="E142" s="30" t="inlineStr">
        <is>
          <t>0001045810-23-000017</t>
        </is>
      </c>
      <c r="F142" s="31" t="inlineStr">
        <is>
          <t>https://www.sec.gov/Archives/edgar/data/1045810/000104581023000017/0001045810-23-000017-index.htm</t>
        </is>
      </c>
    </row>
    <row r="143">
      <c r="B143" s="30" t="n">
        <v>135</v>
      </c>
      <c r="C143" s="15" t="inlineStr">
        <is>
          <t>NVDA FY2024 10-K</t>
        </is>
      </c>
      <c r="D143" s="30" t="inlineStr">
        <is>
          <t>us-gaap:Liabilities · period ending 2024-01-28 · USD · filed 2024-02-21</t>
        </is>
      </c>
      <c r="E143" s="30" t="inlineStr">
        <is>
          <t>0001045810-24-000029</t>
        </is>
      </c>
      <c r="F143" s="31" t="inlineStr">
        <is>
          <t>https://www.sec.gov/Archives/edgar/data/1045810/000104581024000029/0001045810-24-000029-index.htm</t>
        </is>
      </c>
    </row>
    <row r="144">
      <c r="B144" s="30" t="n">
        <v>136</v>
      </c>
      <c r="C144" s="15" t="inlineStr">
        <is>
          <t>NVDA FY2025 10-K</t>
        </is>
      </c>
      <c r="D144" s="30" t="inlineStr">
        <is>
          <t>us-gaap:Liabilities · period ending 2025-01-26 · USD · filed 2025-02-26</t>
        </is>
      </c>
      <c r="E144" s="30" t="inlineStr">
        <is>
          <t>0001045810-25-000023</t>
        </is>
      </c>
      <c r="F144" s="31" t="inlineStr">
        <is>
          <t>https://www.sec.gov/Archives/edgar/data/1045810/000104581025000023/0001045810-25-000023-index.htm</t>
        </is>
      </c>
    </row>
    <row r="145">
      <c r="B145" s="30" t="n">
        <v>137</v>
      </c>
      <c r="C145" s="15" t="inlineStr">
        <is>
          <t>NVDA FY2026 10-K</t>
        </is>
      </c>
      <c r="D145" s="30" t="inlineStr">
        <is>
          <t>us-gaap:Liabilities · period ending 2026-01-25 · USD · filed 2026-02-25</t>
        </is>
      </c>
      <c r="E145" s="30" t="inlineStr">
        <is>
          <t>0001045810-26-000021</t>
        </is>
      </c>
      <c r="F145" s="31" t="inlineStr">
        <is>
          <t>https://www.sec.gov/Archives/edgar/data/1045810/000104581026000021/0001045810-26-000021-index.htm</t>
        </is>
      </c>
    </row>
    <row r="146">
      <c r="B146" s="30" t="n">
        <v>138</v>
      </c>
      <c r="C146" s="15" t="inlineStr">
        <is>
          <t>NVDA FY2022 10-K</t>
        </is>
      </c>
      <c r="D146" s="30" t="inlineStr">
        <is>
          <t>us-gaap:LiabilitiesAndStockholdersEquity · period ending 2022-01-30 · USD · filed 2022-03-18</t>
        </is>
      </c>
      <c r="E146" s="30" t="inlineStr">
        <is>
          <t>0001045810-22-000036</t>
        </is>
      </c>
      <c r="F146" s="31" t="inlineStr">
        <is>
          <t>https://www.sec.gov/Archives/edgar/data/1045810/000104581022000036/0001045810-22-000036-index.htm</t>
        </is>
      </c>
    </row>
    <row r="147">
      <c r="B147" s="30" t="n">
        <v>139</v>
      </c>
      <c r="C147" s="15" t="inlineStr">
        <is>
          <t>NVDA FY2023 10-K</t>
        </is>
      </c>
      <c r="D147" s="30" t="inlineStr">
        <is>
          <t>us-gaap:LiabilitiesAndStockholdersEquity · period ending 2023-01-29 · USD · filed 2023-02-24</t>
        </is>
      </c>
      <c r="E147" s="30" t="inlineStr">
        <is>
          <t>0001045810-23-000017</t>
        </is>
      </c>
      <c r="F147" s="31" t="inlineStr">
        <is>
          <t>https://www.sec.gov/Archives/edgar/data/1045810/000104581023000017/0001045810-23-000017-index.htm</t>
        </is>
      </c>
    </row>
    <row r="148">
      <c r="B148" s="30" t="n">
        <v>140</v>
      </c>
      <c r="C148" s="15" t="inlineStr">
        <is>
          <t>NVDA FY2024 10-K</t>
        </is>
      </c>
      <c r="D148" s="30" t="inlineStr">
        <is>
          <t>us-gaap:LiabilitiesAndStockholdersEquity · period ending 2024-01-28 · USD · filed 2024-02-21</t>
        </is>
      </c>
      <c r="E148" s="30" t="inlineStr">
        <is>
          <t>0001045810-24-000029</t>
        </is>
      </c>
      <c r="F148" s="31" t="inlineStr">
        <is>
          <t>https://www.sec.gov/Archives/edgar/data/1045810/000104581024000029/0001045810-24-000029-index.htm</t>
        </is>
      </c>
    </row>
    <row r="149">
      <c r="B149" s="30" t="n">
        <v>141</v>
      </c>
      <c r="C149" s="15" t="inlineStr">
        <is>
          <t>NVDA FY2025 10-K</t>
        </is>
      </c>
      <c r="D149" s="30" t="inlineStr">
        <is>
          <t>us-gaap:LiabilitiesAndStockholdersEquity · period ending 2025-01-26 · USD · filed 2025-02-26</t>
        </is>
      </c>
      <c r="E149" s="30" t="inlineStr">
        <is>
          <t>0001045810-25-000023</t>
        </is>
      </c>
      <c r="F149" s="31" t="inlineStr">
        <is>
          <t>https://www.sec.gov/Archives/edgar/data/1045810/000104581025000023/0001045810-25-000023-index.htm</t>
        </is>
      </c>
    </row>
    <row r="150">
      <c r="B150" s="30" t="n">
        <v>142</v>
      </c>
      <c r="C150" s="15" t="inlineStr">
        <is>
          <t>NVDA FY2026 10-K</t>
        </is>
      </c>
      <c r="D150" s="30" t="inlineStr">
        <is>
          <t>us-gaap:LiabilitiesAndStockholdersEquity · period ending 2026-01-25 · USD · filed 2026-02-25</t>
        </is>
      </c>
      <c r="E150" s="30" t="inlineStr">
        <is>
          <t>0001045810-26-000021</t>
        </is>
      </c>
      <c r="F150" s="31" t="inlineStr">
        <is>
          <t>https://www.sec.gov/Archives/edgar/data/1045810/000104581026000021/0001045810-26-000021-index.htm</t>
        </is>
      </c>
    </row>
    <row r="151">
      <c r="B151" s="30" t="n">
        <v>143</v>
      </c>
      <c r="C151" s="15" t="inlineStr">
        <is>
          <t>NVDA FY2022 10-K</t>
        </is>
      </c>
      <c r="D151" s="30" t="inlineStr">
        <is>
          <t>us-gaap:NetCashProvidedByUsedInInvestingActivities · period ending 2022-01-30 · USD · filed 2022-03-18</t>
        </is>
      </c>
      <c r="E151" s="30" t="inlineStr">
        <is>
          <t>0001045810-22-000036</t>
        </is>
      </c>
      <c r="F151" s="31" t="inlineStr">
        <is>
          <t>https://www.sec.gov/Archives/edgar/data/1045810/000104581022000036/0001045810-22-000036-index.htm</t>
        </is>
      </c>
    </row>
    <row r="152">
      <c r="B152" s="30" t="n">
        <v>144</v>
      </c>
      <c r="C152" s="15" t="inlineStr">
        <is>
          <t>NVDA FY2023 10-K</t>
        </is>
      </c>
      <c r="D152" s="30" t="inlineStr">
        <is>
          <t>us-gaap:NetCashProvidedByUsedInInvestingActivities · period ending 2023-01-29 · USD · filed 2023-02-24</t>
        </is>
      </c>
      <c r="E152" s="30" t="inlineStr">
        <is>
          <t>0001045810-23-000017</t>
        </is>
      </c>
      <c r="F152" s="31" t="inlineStr">
        <is>
          <t>https://www.sec.gov/Archives/edgar/data/1045810/000104581023000017/0001045810-23-000017-index.htm</t>
        </is>
      </c>
    </row>
    <row r="153">
      <c r="B153" s="30" t="n">
        <v>145</v>
      </c>
      <c r="C153" s="15" t="inlineStr">
        <is>
          <t>NVDA FY2024 10-K</t>
        </is>
      </c>
      <c r="D153" s="30" t="inlineStr">
        <is>
          <t>us-gaap:NetCashProvidedByUsedInInvestingActivities · period ending 2024-01-28 · USD · filed 2024-02-21</t>
        </is>
      </c>
      <c r="E153" s="30" t="inlineStr">
        <is>
          <t>0001045810-24-000029</t>
        </is>
      </c>
      <c r="F153" s="31" t="inlineStr">
        <is>
          <t>https://www.sec.gov/Archives/edgar/data/1045810/000104581024000029/0001045810-24-000029-index.htm</t>
        </is>
      </c>
    </row>
    <row r="154">
      <c r="B154" s="30" t="n">
        <v>146</v>
      </c>
      <c r="C154" s="15" t="inlineStr">
        <is>
          <t>NVDA FY2025 10-K</t>
        </is>
      </c>
      <c r="D154" s="30" t="inlineStr">
        <is>
          <t>us-gaap:NetCashProvidedByUsedInInvestingActivities · period ending 2025-01-26 · USD · filed 2025-02-26</t>
        </is>
      </c>
      <c r="E154" s="30" t="inlineStr">
        <is>
          <t>0001045810-25-000023</t>
        </is>
      </c>
      <c r="F154" s="31" t="inlineStr">
        <is>
          <t>https://www.sec.gov/Archives/edgar/data/1045810/000104581025000023/0001045810-25-000023-index.htm</t>
        </is>
      </c>
    </row>
    <row r="155">
      <c r="B155" s="30" t="n">
        <v>147</v>
      </c>
      <c r="C155" s="15" t="inlineStr">
        <is>
          <t>NVDA FY2026 10-K</t>
        </is>
      </c>
      <c r="D155" s="30" t="inlineStr">
        <is>
          <t>us-gaap:NetCashProvidedByUsedInInvestingActivities · period ending 2026-01-25 · USD · filed 2026-02-25</t>
        </is>
      </c>
      <c r="E155" s="30" t="inlineStr">
        <is>
          <t>0001045810-26-000021</t>
        </is>
      </c>
      <c r="F155" s="31" t="inlineStr">
        <is>
          <t>https://www.sec.gov/Archives/edgar/data/1045810/000104581026000021/0001045810-26-000021-index.htm</t>
        </is>
      </c>
    </row>
    <row r="156">
      <c r="B156" s="30" t="n">
        <v>148</v>
      </c>
      <c r="C156" s="15" t="inlineStr">
        <is>
          <t>NVDA FY2022 10-K</t>
        </is>
      </c>
      <c r="D156" s="30" t="inlineStr">
        <is>
          <t>us-gaap:NetCashProvidedByUsedInFinancingActivities · period ending 2022-01-30 · USD · filed 2022-03-18</t>
        </is>
      </c>
      <c r="E156" s="30" t="inlineStr">
        <is>
          <t>0001045810-22-000036</t>
        </is>
      </c>
      <c r="F156" s="31" t="inlineStr">
        <is>
          <t>https://www.sec.gov/Archives/edgar/data/1045810/000104581022000036/0001045810-22-000036-index.htm</t>
        </is>
      </c>
    </row>
    <row r="157">
      <c r="B157" s="30" t="n">
        <v>149</v>
      </c>
      <c r="C157" s="15" t="inlineStr">
        <is>
          <t>NVDA FY2023 10-K</t>
        </is>
      </c>
      <c r="D157" s="30" t="inlineStr">
        <is>
          <t>us-gaap:NetCashProvidedByUsedInFinancingActivities · period ending 2023-01-29 · USD · filed 2023-02-24</t>
        </is>
      </c>
      <c r="E157" s="30" t="inlineStr">
        <is>
          <t>0001045810-23-000017</t>
        </is>
      </c>
      <c r="F157" s="31" t="inlineStr">
        <is>
          <t>https://www.sec.gov/Archives/edgar/data/1045810/000104581023000017/0001045810-23-000017-index.htm</t>
        </is>
      </c>
    </row>
    <row r="158">
      <c r="B158" s="30" t="n">
        <v>150</v>
      </c>
      <c r="C158" s="15" t="inlineStr">
        <is>
          <t>NVDA FY2024 10-K</t>
        </is>
      </c>
      <c r="D158" s="30" t="inlineStr">
        <is>
          <t>us-gaap:NetCashProvidedByUsedInFinancingActivities · period ending 2024-01-28 · USD · filed 2024-02-21</t>
        </is>
      </c>
      <c r="E158" s="30" t="inlineStr">
        <is>
          <t>0001045810-24-000029</t>
        </is>
      </c>
      <c r="F158" s="31" t="inlineStr">
        <is>
          <t>https://www.sec.gov/Archives/edgar/data/1045810/000104581024000029/0001045810-24-000029-index.htm</t>
        </is>
      </c>
    </row>
    <row r="159">
      <c r="B159" s="30" t="n">
        <v>151</v>
      </c>
      <c r="C159" s="15" t="inlineStr">
        <is>
          <t>NVDA FY2025 10-K</t>
        </is>
      </c>
      <c r="D159" s="30" t="inlineStr">
        <is>
          <t>us-gaap:NetCashProvidedByUsedInFinancingActivities · period ending 2025-01-26 · USD · filed 2025-02-26</t>
        </is>
      </c>
      <c r="E159" s="30" t="inlineStr">
        <is>
          <t>0001045810-25-000023</t>
        </is>
      </c>
      <c r="F159" s="31" t="inlineStr">
        <is>
          <t>https://www.sec.gov/Archives/edgar/data/1045810/000104581025000023/0001045810-25-000023-index.htm</t>
        </is>
      </c>
    </row>
    <row r="160">
      <c r="B160" s="30" t="n">
        <v>152</v>
      </c>
      <c r="C160" s="15" t="inlineStr">
        <is>
          <t>NVDA FY2026 10-K</t>
        </is>
      </c>
      <c r="D160" s="30" t="inlineStr">
        <is>
          <t>us-gaap:NetCashProvidedByUsedInFinancingActivities · period ending 2026-01-25 · USD · filed 2026-02-25</t>
        </is>
      </c>
      <c r="E160" s="30" t="inlineStr">
        <is>
          <t>0001045810-26-000021</t>
        </is>
      </c>
      <c r="F160" s="31" t="inlineStr">
        <is>
          <t>https://www.sec.gov/Archives/edgar/data/1045810/000104581026000021/0001045810-26-000021-index.htm</t>
        </is>
      </c>
    </row>
    <row r="161">
      <c r="B161" s="30" t="n">
        <v>153</v>
      </c>
      <c r="C161" s="15" t="inlineStr">
        <is>
          <t>NVDA FY2022 10-K</t>
        </is>
      </c>
      <c r="D161" s="30" t="inlineStr">
        <is>
          <t>us-gaap:PaymentsForRepurchaseOfCommonStock · period ending 2022-01-30 · USD · filed 2023-02-24</t>
        </is>
      </c>
      <c r="E161" s="30" t="inlineStr">
        <is>
          <t>0001045810-23-000017</t>
        </is>
      </c>
      <c r="F161" s="31" t="inlineStr">
        <is>
          <t>https://www.sec.gov/Archives/edgar/data/1045810/000104581023000017/0001045810-23-000017-index.htm</t>
        </is>
      </c>
    </row>
    <row r="162">
      <c r="B162" s="30" t="n">
        <v>154</v>
      </c>
      <c r="C162" s="15" t="inlineStr">
        <is>
          <t>NVDA FY2023 10-K</t>
        </is>
      </c>
      <c r="D162" s="30" t="inlineStr">
        <is>
          <t>us-gaap:PaymentsForRepurchaseOfCommonStock · period ending 2023-01-29 · USD · filed 2023-02-24</t>
        </is>
      </c>
      <c r="E162" s="30" t="inlineStr">
        <is>
          <t>0001045810-23-000017</t>
        </is>
      </c>
      <c r="F162" s="31" t="inlineStr">
        <is>
          <t>https://www.sec.gov/Archives/edgar/data/1045810/000104581023000017/0001045810-23-000017-index.htm</t>
        </is>
      </c>
    </row>
    <row r="163">
      <c r="B163" s="30" t="n">
        <v>155</v>
      </c>
      <c r="C163" s="15" t="inlineStr">
        <is>
          <t>NVDA FY2024 10-K</t>
        </is>
      </c>
      <c r="D163" s="30" t="inlineStr">
        <is>
          <t>us-gaap:PaymentsForRepurchaseOfCommonStock · period ending 2024-01-28 · USD · filed 2024-02-21</t>
        </is>
      </c>
      <c r="E163" s="30" t="inlineStr">
        <is>
          <t>0001045810-24-000029</t>
        </is>
      </c>
      <c r="F163" s="31" t="inlineStr">
        <is>
          <t>https://www.sec.gov/Archives/edgar/data/1045810/000104581024000029/0001045810-24-000029-index.htm</t>
        </is>
      </c>
    </row>
    <row r="164">
      <c r="B164" s="30" t="n">
        <v>156</v>
      </c>
      <c r="C164" s="15" t="inlineStr">
        <is>
          <t>NVDA FY2025 10-K</t>
        </is>
      </c>
      <c r="D164" s="30" t="inlineStr">
        <is>
          <t>us-gaap:PaymentsForRepurchaseOfCommonStock · period ending 2025-01-26 · USD · filed 2025-02-26</t>
        </is>
      </c>
      <c r="E164" s="30" t="inlineStr">
        <is>
          <t>0001045810-25-000023</t>
        </is>
      </c>
      <c r="F164" s="31" t="inlineStr">
        <is>
          <t>https://www.sec.gov/Archives/edgar/data/1045810/000104581025000023/0001045810-25-000023-index.htm</t>
        </is>
      </c>
    </row>
    <row r="165">
      <c r="B165" s="30" t="n">
        <v>157</v>
      </c>
      <c r="C165" s="15" t="inlineStr">
        <is>
          <t>NVDA FY2026 10-K</t>
        </is>
      </c>
      <c r="D165" s="30" t="inlineStr">
        <is>
          <t>us-gaap:PaymentsForRepurchaseOfCommonStock · period ending 2026-01-25 · USD · filed 2026-02-25</t>
        </is>
      </c>
      <c r="E165" s="30" t="inlineStr">
        <is>
          <t>0001045810-26-000021</t>
        </is>
      </c>
      <c r="F165" s="31" t="inlineStr">
        <is>
          <t>https://www.sec.gov/Archives/edgar/data/1045810/000104581026000021/0001045810-26-000021-index.htm</t>
        </is>
      </c>
    </row>
    <row r="166">
      <c r="B166" s="30" t="n">
        <v>158</v>
      </c>
      <c r="C166" s="15" t="inlineStr">
        <is>
          <t>NVDA FY2022 10-K</t>
        </is>
      </c>
      <c r="D166" s="30" t="inlineStr">
        <is>
          <t>us-gaap:PaymentsOfDividends · period ending 2022-01-30 · USD · filed 2022-03-18</t>
        </is>
      </c>
      <c r="E166" s="30" t="inlineStr">
        <is>
          <t>0001045810-22-000036</t>
        </is>
      </c>
      <c r="F166" s="31" t="inlineStr">
        <is>
          <t>https://www.sec.gov/Archives/edgar/data/1045810/000104581022000036/0001045810-22-000036-index.htm</t>
        </is>
      </c>
    </row>
    <row r="167">
      <c r="B167" s="30" t="n">
        <v>159</v>
      </c>
      <c r="C167" s="15" t="inlineStr">
        <is>
          <t>NVDA FY2023 10-K</t>
        </is>
      </c>
      <c r="D167" s="30" t="inlineStr">
        <is>
          <t>us-gaap:PaymentsOfDividends · period ending 2023-01-29 · USD · filed 2023-02-24</t>
        </is>
      </c>
      <c r="E167" s="30" t="inlineStr">
        <is>
          <t>0001045810-23-000017</t>
        </is>
      </c>
      <c r="F167" s="31" t="inlineStr">
        <is>
          <t>https://www.sec.gov/Archives/edgar/data/1045810/000104581023000017/0001045810-23-000017-index.htm</t>
        </is>
      </c>
    </row>
    <row r="168">
      <c r="B168" s="30" t="n">
        <v>160</v>
      </c>
      <c r="C168" s="15" t="inlineStr">
        <is>
          <t>NVDA FY2024 10-K</t>
        </is>
      </c>
      <c r="D168" s="30" t="inlineStr">
        <is>
          <t>us-gaap:PaymentsOfDividends · period ending 2024-01-28 · USD · filed 2024-02-21</t>
        </is>
      </c>
      <c r="E168" s="30" t="inlineStr">
        <is>
          <t>0001045810-24-000029</t>
        </is>
      </c>
      <c r="F168" s="31" t="inlineStr">
        <is>
          <t>https://www.sec.gov/Archives/edgar/data/1045810/000104581024000029/0001045810-24-000029-index.htm</t>
        </is>
      </c>
    </row>
    <row r="169">
      <c r="B169" s="30" t="n">
        <v>161</v>
      </c>
      <c r="C169" s="15" t="inlineStr">
        <is>
          <t>NVDA FY2025 10-K</t>
        </is>
      </c>
      <c r="D169" s="30" t="inlineStr">
        <is>
          <t>us-gaap:PaymentsOfDividends · period ending 2025-01-26 · USD · filed 2025-02-26</t>
        </is>
      </c>
      <c r="E169" s="30" t="inlineStr">
        <is>
          <t>0001045810-25-000023</t>
        </is>
      </c>
      <c r="F169" s="31" t="inlineStr">
        <is>
          <t>https://www.sec.gov/Archives/edgar/data/1045810/000104581025000023/0001045810-25-000023-index.htm</t>
        </is>
      </c>
    </row>
    <row r="170">
      <c r="B170" s="30" t="n">
        <v>162</v>
      </c>
      <c r="C170" s="15" t="inlineStr">
        <is>
          <t>NVDA FY2026 10-K</t>
        </is>
      </c>
      <c r="D170" s="30" t="inlineStr">
        <is>
          <t>us-gaap:PaymentsOfDividends · period ending 2026-01-25 · USD · filed 2026-02-25</t>
        </is>
      </c>
      <c r="E170" s="30" t="inlineStr">
        <is>
          <t>0001045810-26-000021</t>
        </is>
      </c>
      <c r="F170" s="31" t="inlineStr">
        <is>
          <t>https://www.sec.gov/Archives/edgar/data/1045810/000104581026000021/0001045810-26-000021-index.htm</t>
        </is>
      </c>
    </row>
  </sheetData>
  <hyperlinks>
    <hyperlink xmlns:r="http://schemas.openxmlformats.org/officeDocument/2006/relationships" ref="F9" r:id="rId1"/>
    <hyperlink xmlns:r="http://schemas.openxmlformats.org/officeDocument/2006/relationships" ref="F10" r:id="rId2"/>
    <hyperlink xmlns:r="http://schemas.openxmlformats.org/officeDocument/2006/relationships" ref="F11" r:id="rId3"/>
    <hyperlink xmlns:r="http://schemas.openxmlformats.org/officeDocument/2006/relationships" ref="F12" r:id="rId4"/>
    <hyperlink xmlns:r="http://schemas.openxmlformats.org/officeDocument/2006/relationships" ref="F13" r:id="rId5"/>
    <hyperlink xmlns:r="http://schemas.openxmlformats.org/officeDocument/2006/relationships" ref="F14" r:id="rId6"/>
    <hyperlink xmlns:r="http://schemas.openxmlformats.org/officeDocument/2006/relationships" ref="F15" r:id="rId7"/>
    <hyperlink xmlns:r="http://schemas.openxmlformats.org/officeDocument/2006/relationships" ref="F16" r:id="rId8"/>
    <hyperlink xmlns:r="http://schemas.openxmlformats.org/officeDocument/2006/relationships" ref="F17" r:id="rId9"/>
    <hyperlink xmlns:r="http://schemas.openxmlformats.org/officeDocument/2006/relationships" ref="F18" r:id="rId10"/>
    <hyperlink xmlns:r="http://schemas.openxmlformats.org/officeDocument/2006/relationships" ref="F19" r:id="rId11"/>
    <hyperlink xmlns:r="http://schemas.openxmlformats.org/officeDocument/2006/relationships" ref="F20" r:id="rId12"/>
    <hyperlink xmlns:r="http://schemas.openxmlformats.org/officeDocument/2006/relationships" ref="F21" r:id="rId13"/>
    <hyperlink xmlns:r="http://schemas.openxmlformats.org/officeDocument/2006/relationships" ref="F22" r:id="rId14"/>
    <hyperlink xmlns:r="http://schemas.openxmlformats.org/officeDocument/2006/relationships" ref="F23" r:id="rId15"/>
    <hyperlink xmlns:r="http://schemas.openxmlformats.org/officeDocument/2006/relationships" ref="F24" r:id="rId16"/>
    <hyperlink xmlns:r="http://schemas.openxmlformats.org/officeDocument/2006/relationships" ref="F25" r:id="rId17"/>
    <hyperlink xmlns:r="http://schemas.openxmlformats.org/officeDocument/2006/relationships" ref="F26" r:id="rId18"/>
    <hyperlink xmlns:r="http://schemas.openxmlformats.org/officeDocument/2006/relationships" ref="F27" r:id="rId19"/>
    <hyperlink xmlns:r="http://schemas.openxmlformats.org/officeDocument/2006/relationships" ref="F28" r:id="rId20"/>
    <hyperlink xmlns:r="http://schemas.openxmlformats.org/officeDocument/2006/relationships" ref="F29" r:id="rId21"/>
    <hyperlink xmlns:r="http://schemas.openxmlformats.org/officeDocument/2006/relationships" ref="F30" r:id="rId22"/>
    <hyperlink xmlns:r="http://schemas.openxmlformats.org/officeDocument/2006/relationships" ref="F31" r:id="rId23"/>
    <hyperlink xmlns:r="http://schemas.openxmlformats.org/officeDocument/2006/relationships" ref="F32" r:id="rId24"/>
    <hyperlink xmlns:r="http://schemas.openxmlformats.org/officeDocument/2006/relationships" ref="F33" r:id="rId25"/>
    <hyperlink xmlns:r="http://schemas.openxmlformats.org/officeDocument/2006/relationships" ref="F34" r:id="rId26"/>
    <hyperlink xmlns:r="http://schemas.openxmlformats.org/officeDocument/2006/relationships" ref="F35" r:id="rId27"/>
    <hyperlink xmlns:r="http://schemas.openxmlformats.org/officeDocument/2006/relationships" ref="F36" r:id="rId28"/>
    <hyperlink xmlns:r="http://schemas.openxmlformats.org/officeDocument/2006/relationships" ref="F37" r:id="rId29"/>
    <hyperlink xmlns:r="http://schemas.openxmlformats.org/officeDocument/2006/relationships" ref="F38" r:id="rId30"/>
    <hyperlink xmlns:r="http://schemas.openxmlformats.org/officeDocument/2006/relationships" ref="F39" r:id="rId31"/>
    <hyperlink xmlns:r="http://schemas.openxmlformats.org/officeDocument/2006/relationships" ref="F40" r:id="rId32"/>
    <hyperlink xmlns:r="http://schemas.openxmlformats.org/officeDocument/2006/relationships" ref="F41" r:id="rId33"/>
    <hyperlink xmlns:r="http://schemas.openxmlformats.org/officeDocument/2006/relationships" ref="F42" r:id="rId34"/>
    <hyperlink xmlns:r="http://schemas.openxmlformats.org/officeDocument/2006/relationships" ref="F43" r:id="rId35"/>
    <hyperlink xmlns:r="http://schemas.openxmlformats.org/officeDocument/2006/relationships" ref="F44" r:id="rId36"/>
    <hyperlink xmlns:r="http://schemas.openxmlformats.org/officeDocument/2006/relationships" ref="F45" r:id="rId37"/>
    <hyperlink xmlns:r="http://schemas.openxmlformats.org/officeDocument/2006/relationships" ref="F46" r:id="rId38"/>
    <hyperlink xmlns:r="http://schemas.openxmlformats.org/officeDocument/2006/relationships" ref="F47" r:id="rId39"/>
    <hyperlink xmlns:r="http://schemas.openxmlformats.org/officeDocument/2006/relationships" ref="F48" r:id="rId40"/>
    <hyperlink xmlns:r="http://schemas.openxmlformats.org/officeDocument/2006/relationships" ref="F49" r:id="rId41"/>
    <hyperlink xmlns:r="http://schemas.openxmlformats.org/officeDocument/2006/relationships" ref="F50" r:id="rId42"/>
    <hyperlink xmlns:r="http://schemas.openxmlformats.org/officeDocument/2006/relationships" ref="F51" r:id="rId43"/>
    <hyperlink xmlns:r="http://schemas.openxmlformats.org/officeDocument/2006/relationships" ref="F52" r:id="rId44"/>
    <hyperlink xmlns:r="http://schemas.openxmlformats.org/officeDocument/2006/relationships" ref="F53" r:id="rId45"/>
    <hyperlink xmlns:r="http://schemas.openxmlformats.org/officeDocument/2006/relationships" ref="F54" r:id="rId46"/>
    <hyperlink xmlns:r="http://schemas.openxmlformats.org/officeDocument/2006/relationships" ref="F55" r:id="rId47"/>
    <hyperlink xmlns:r="http://schemas.openxmlformats.org/officeDocument/2006/relationships" ref="F56" r:id="rId48"/>
    <hyperlink xmlns:r="http://schemas.openxmlformats.org/officeDocument/2006/relationships" ref="F57" r:id="rId49"/>
    <hyperlink xmlns:r="http://schemas.openxmlformats.org/officeDocument/2006/relationships" ref="F58" r:id="rId50"/>
    <hyperlink xmlns:r="http://schemas.openxmlformats.org/officeDocument/2006/relationships" ref="F59" r:id="rId51"/>
    <hyperlink xmlns:r="http://schemas.openxmlformats.org/officeDocument/2006/relationships" ref="F60" r:id="rId52"/>
    <hyperlink xmlns:r="http://schemas.openxmlformats.org/officeDocument/2006/relationships" ref="F61" r:id="rId53"/>
    <hyperlink xmlns:r="http://schemas.openxmlformats.org/officeDocument/2006/relationships" ref="F62" r:id="rId54"/>
    <hyperlink xmlns:r="http://schemas.openxmlformats.org/officeDocument/2006/relationships" ref="F63" r:id="rId55"/>
    <hyperlink xmlns:r="http://schemas.openxmlformats.org/officeDocument/2006/relationships" ref="F64" r:id="rId56"/>
    <hyperlink xmlns:r="http://schemas.openxmlformats.org/officeDocument/2006/relationships" ref="F65" r:id="rId57"/>
    <hyperlink xmlns:r="http://schemas.openxmlformats.org/officeDocument/2006/relationships" ref="F66" r:id="rId58"/>
    <hyperlink xmlns:r="http://schemas.openxmlformats.org/officeDocument/2006/relationships" ref="F67" r:id="rId59"/>
    <hyperlink xmlns:r="http://schemas.openxmlformats.org/officeDocument/2006/relationships" ref="F68" r:id="rId60"/>
    <hyperlink xmlns:r="http://schemas.openxmlformats.org/officeDocument/2006/relationships" ref="F69" r:id="rId61"/>
    <hyperlink xmlns:r="http://schemas.openxmlformats.org/officeDocument/2006/relationships" ref="F70" r:id="rId62"/>
    <hyperlink xmlns:r="http://schemas.openxmlformats.org/officeDocument/2006/relationships" ref="F71" r:id="rId63"/>
    <hyperlink xmlns:r="http://schemas.openxmlformats.org/officeDocument/2006/relationships" ref="F72" r:id="rId64"/>
    <hyperlink xmlns:r="http://schemas.openxmlformats.org/officeDocument/2006/relationships" ref="F73" r:id="rId65"/>
    <hyperlink xmlns:r="http://schemas.openxmlformats.org/officeDocument/2006/relationships" ref="F74" r:id="rId66"/>
    <hyperlink xmlns:r="http://schemas.openxmlformats.org/officeDocument/2006/relationships" ref="F75" r:id="rId67"/>
    <hyperlink xmlns:r="http://schemas.openxmlformats.org/officeDocument/2006/relationships" ref="F76" r:id="rId68"/>
    <hyperlink xmlns:r="http://schemas.openxmlformats.org/officeDocument/2006/relationships" ref="F77" r:id="rId69"/>
    <hyperlink xmlns:r="http://schemas.openxmlformats.org/officeDocument/2006/relationships" ref="F78" r:id="rId70"/>
    <hyperlink xmlns:r="http://schemas.openxmlformats.org/officeDocument/2006/relationships" ref="F79" r:id="rId71"/>
    <hyperlink xmlns:r="http://schemas.openxmlformats.org/officeDocument/2006/relationships" ref="F80" r:id="rId72"/>
    <hyperlink xmlns:r="http://schemas.openxmlformats.org/officeDocument/2006/relationships" ref="F81" r:id="rId73"/>
    <hyperlink xmlns:r="http://schemas.openxmlformats.org/officeDocument/2006/relationships" ref="F82" r:id="rId74"/>
    <hyperlink xmlns:r="http://schemas.openxmlformats.org/officeDocument/2006/relationships" ref="F83" r:id="rId75"/>
    <hyperlink xmlns:r="http://schemas.openxmlformats.org/officeDocument/2006/relationships" ref="F84" r:id="rId76"/>
    <hyperlink xmlns:r="http://schemas.openxmlformats.org/officeDocument/2006/relationships" ref="F85" r:id="rId77"/>
    <hyperlink xmlns:r="http://schemas.openxmlformats.org/officeDocument/2006/relationships" ref="F86" r:id="rId78"/>
    <hyperlink xmlns:r="http://schemas.openxmlformats.org/officeDocument/2006/relationships" ref="F87" r:id="rId79"/>
    <hyperlink xmlns:r="http://schemas.openxmlformats.org/officeDocument/2006/relationships" ref="F88" r:id="rId80"/>
    <hyperlink xmlns:r="http://schemas.openxmlformats.org/officeDocument/2006/relationships" ref="F89" r:id="rId81"/>
    <hyperlink xmlns:r="http://schemas.openxmlformats.org/officeDocument/2006/relationships" ref="F90" r:id="rId82"/>
    <hyperlink xmlns:r="http://schemas.openxmlformats.org/officeDocument/2006/relationships" ref="F91" r:id="rId83"/>
    <hyperlink xmlns:r="http://schemas.openxmlformats.org/officeDocument/2006/relationships" ref="F92" r:id="rId84"/>
    <hyperlink xmlns:r="http://schemas.openxmlformats.org/officeDocument/2006/relationships" ref="F93" r:id="rId85"/>
    <hyperlink xmlns:r="http://schemas.openxmlformats.org/officeDocument/2006/relationships" ref="F94" r:id="rId86"/>
    <hyperlink xmlns:r="http://schemas.openxmlformats.org/officeDocument/2006/relationships" ref="F95" r:id="rId87"/>
    <hyperlink xmlns:r="http://schemas.openxmlformats.org/officeDocument/2006/relationships" ref="F96" r:id="rId88"/>
    <hyperlink xmlns:r="http://schemas.openxmlformats.org/officeDocument/2006/relationships" ref="F97" r:id="rId89"/>
    <hyperlink xmlns:r="http://schemas.openxmlformats.org/officeDocument/2006/relationships" ref="F98" r:id="rId90"/>
    <hyperlink xmlns:r="http://schemas.openxmlformats.org/officeDocument/2006/relationships" ref="F99" r:id="rId91"/>
    <hyperlink xmlns:r="http://schemas.openxmlformats.org/officeDocument/2006/relationships" ref="F100" r:id="rId92"/>
    <hyperlink xmlns:r="http://schemas.openxmlformats.org/officeDocument/2006/relationships" ref="F101" r:id="rId93"/>
    <hyperlink xmlns:r="http://schemas.openxmlformats.org/officeDocument/2006/relationships" ref="F102" r:id="rId94"/>
    <hyperlink xmlns:r="http://schemas.openxmlformats.org/officeDocument/2006/relationships" ref="F103" r:id="rId95"/>
    <hyperlink xmlns:r="http://schemas.openxmlformats.org/officeDocument/2006/relationships" ref="F104" r:id="rId96"/>
    <hyperlink xmlns:r="http://schemas.openxmlformats.org/officeDocument/2006/relationships" ref="F105" r:id="rId97"/>
    <hyperlink xmlns:r="http://schemas.openxmlformats.org/officeDocument/2006/relationships" ref="F106" r:id="rId98"/>
    <hyperlink xmlns:r="http://schemas.openxmlformats.org/officeDocument/2006/relationships" ref="F107" r:id="rId99"/>
    <hyperlink xmlns:r="http://schemas.openxmlformats.org/officeDocument/2006/relationships" ref="F108" r:id="rId100"/>
    <hyperlink xmlns:r="http://schemas.openxmlformats.org/officeDocument/2006/relationships" ref="F109" r:id="rId101"/>
    <hyperlink xmlns:r="http://schemas.openxmlformats.org/officeDocument/2006/relationships" ref="F110" r:id="rId102"/>
    <hyperlink xmlns:r="http://schemas.openxmlformats.org/officeDocument/2006/relationships" ref="F111" r:id="rId103"/>
    <hyperlink xmlns:r="http://schemas.openxmlformats.org/officeDocument/2006/relationships" ref="F112" r:id="rId104"/>
    <hyperlink xmlns:r="http://schemas.openxmlformats.org/officeDocument/2006/relationships" ref="F113" r:id="rId105"/>
    <hyperlink xmlns:r="http://schemas.openxmlformats.org/officeDocument/2006/relationships" ref="F114" r:id="rId106"/>
    <hyperlink xmlns:r="http://schemas.openxmlformats.org/officeDocument/2006/relationships" ref="F115" r:id="rId107"/>
    <hyperlink xmlns:r="http://schemas.openxmlformats.org/officeDocument/2006/relationships" ref="F116" r:id="rId108"/>
    <hyperlink xmlns:r="http://schemas.openxmlformats.org/officeDocument/2006/relationships" ref="F117" r:id="rId109"/>
    <hyperlink xmlns:r="http://schemas.openxmlformats.org/officeDocument/2006/relationships" ref="F118" r:id="rId110"/>
    <hyperlink xmlns:r="http://schemas.openxmlformats.org/officeDocument/2006/relationships" ref="F119" r:id="rId111"/>
    <hyperlink xmlns:r="http://schemas.openxmlformats.org/officeDocument/2006/relationships" ref="F120" r:id="rId112"/>
    <hyperlink xmlns:r="http://schemas.openxmlformats.org/officeDocument/2006/relationships" ref="F121" r:id="rId113"/>
    <hyperlink xmlns:r="http://schemas.openxmlformats.org/officeDocument/2006/relationships" ref="F122" r:id="rId114"/>
    <hyperlink xmlns:r="http://schemas.openxmlformats.org/officeDocument/2006/relationships" ref="F123" r:id="rId115"/>
    <hyperlink xmlns:r="http://schemas.openxmlformats.org/officeDocument/2006/relationships" ref="F124" r:id="rId116"/>
    <hyperlink xmlns:r="http://schemas.openxmlformats.org/officeDocument/2006/relationships" ref="F125" r:id="rId117"/>
    <hyperlink xmlns:r="http://schemas.openxmlformats.org/officeDocument/2006/relationships" ref="F126" r:id="rId118"/>
    <hyperlink xmlns:r="http://schemas.openxmlformats.org/officeDocument/2006/relationships" ref="F127" r:id="rId119"/>
    <hyperlink xmlns:r="http://schemas.openxmlformats.org/officeDocument/2006/relationships" ref="F128" r:id="rId120"/>
    <hyperlink xmlns:r="http://schemas.openxmlformats.org/officeDocument/2006/relationships" ref="F129" r:id="rId121"/>
    <hyperlink xmlns:r="http://schemas.openxmlformats.org/officeDocument/2006/relationships" ref="F130" r:id="rId122"/>
    <hyperlink xmlns:r="http://schemas.openxmlformats.org/officeDocument/2006/relationships" ref="F131" r:id="rId123"/>
    <hyperlink xmlns:r="http://schemas.openxmlformats.org/officeDocument/2006/relationships" ref="F132" r:id="rId124"/>
    <hyperlink xmlns:r="http://schemas.openxmlformats.org/officeDocument/2006/relationships" ref="F133" r:id="rId125"/>
    <hyperlink xmlns:r="http://schemas.openxmlformats.org/officeDocument/2006/relationships" ref="F134" r:id="rId126"/>
    <hyperlink xmlns:r="http://schemas.openxmlformats.org/officeDocument/2006/relationships" ref="F135" r:id="rId127"/>
    <hyperlink xmlns:r="http://schemas.openxmlformats.org/officeDocument/2006/relationships" ref="F136" r:id="rId128"/>
    <hyperlink xmlns:r="http://schemas.openxmlformats.org/officeDocument/2006/relationships" ref="F137" r:id="rId129"/>
    <hyperlink xmlns:r="http://schemas.openxmlformats.org/officeDocument/2006/relationships" ref="F138" r:id="rId130"/>
    <hyperlink xmlns:r="http://schemas.openxmlformats.org/officeDocument/2006/relationships" ref="F139" r:id="rId131"/>
    <hyperlink xmlns:r="http://schemas.openxmlformats.org/officeDocument/2006/relationships" ref="F140" r:id="rId132"/>
    <hyperlink xmlns:r="http://schemas.openxmlformats.org/officeDocument/2006/relationships" ref="F141" r:id="rId133"/>
    <hyperlink xmlns:r="http://schemas.openxmlformats.org/officeDocument/2006/relationships" ref="F142" r:id="rId134"/>
    <hyperlink xmlns:r="http://schemas.openxmlformats.org/officeDocument/2006/relationships" ref="F143" r:id="rId135"/>
    <hyperlink xmlns:r="http://schemas.openxmlformats.org/officeDocument/2006/relationships" ref="F144" r:id="rId136"/>
    <hyperlink xmlns:r="http://schemas.openxmlformats.org/officeDocument/2006/relationships" ref="F145" r:id="rId137"/>
    <hyperlink xmlns:r="http://schemas.openxmlformats.org/officeDocument/2006/relationships" ref="F146" r:id="rId138"/>
    <hyperlink xmlns:r="http://schemas.openxmlformats.org/officeDocument/2006/relationships" ref="F147" r:id="rId139"/>
    <hyperlink xmlns:r="http://schemas.openxmlformats.org/officeDocument/2006/relationships" ref="F148" r:id="rId140"/>
    <hyperlink xmlns:r="http://schemas.openxmlformats.org/officeDocument/2006/relationships" ref="F149" r:id="rId141"/>
    <hyperlink xmlns:r="http://schemas.openxmlformats.org/officeDocument/2006/relationships" ref="F150" r:id="rId142"/>
    <hyperlink xmlns:r="http://schemas.openxmlformats.org/officeDocument/2006/relationships" ref="F151" r:id="rId143"/>
    <hyperlink xmlns:r="http://schemas.openxmlformats.org/officeDocument/2006/relationships" ref="F152" r:id="rId144"/>
    <hyperlink xmlns:r="http://schemas.openxmlformats.org/officeDocument/2006/relationships" ref="F153" r:id="rId145"/>
    <hyperlink xmlns:r="http://schemas.openxmlformats.org/officeDocument/2006/relationships" ref="F154" r:id="rId146"/>
    <hyperlink xmlns:r="http://schemas.openxmlformats.org/officeDocument/2006/relationships" ref="F155" r:id="rId147"/>
    <hyperlink xmlns:r="http://schemas.openxmlformats.org/officeDocument/2006/relationships" ref="F156" r:id="rId148"/>
    <hyperlink xmlns:r="http://schemas.openxmlformats.org/officeDocument/2006/relationships" ref="F157" r:id="rId149"/>
    <hyperlink xmlns:r="http://schemas.openxmlformats.org/officeDocument/2006/relationships" ref="F158" r:id="rId150"/>
    <hyperlink xmlns:r="http://schemas.openxmlformats.org/officeDocument/2006/relationships" ref="F159" r:id="rId151"/>
    <hyperlink xmlns:r="http://schemas.openxmlformats.org/officeDocument/2006/relationships" ref="F160" r:id="rId152"/>
    <hyperlink xmlns:r="http://schemas.openxmlformats.org/officeDocument/2006/relationships" ref="F161" r:id="rId153"/>
    <hyperlink xmlns:r="http://schemas.openxmlformats.org/officeDocument/2006/relationships" ref="F162" r:id="rId154"/>
    <hyperlink xmlns:r="http://schemas.openxmlformats.org/officeDocument/2006/relationships" ref="F163" r:id="rId155"/>
    <hyperlink xmlns:r="http://schemas.openxmlformats.org/officeDocument/2006/relationships" ref="F164" r:id="rId156"/>
    <hyperlink xmlns:r="http://schemas.openxmlformats.org/officeDocument/2006/relationships" ref="F165" r:id="rId157"/>
    <hyperlink xmlns:r="http://schemas.openxmlformats.org/officeDocument/2006/relationships" ref="F166" r:id="rId158"/>
    <hyperlink xmlns:r="http://schemas.openxmlformats.org/officeDocument/2006/relationships" ref="F167" r:id="rId159"/>
    <hyperlink xmlns:r="http://schemas.openxmlformats.org/officeDocument/2006/relationships" ref="F168" r:id="rId160"/>
    <hyperlink xmlns:r="http://schemas.openxmlformats.org/officeDocument/2006/relationships" ref="F169" r:id="rId161"/>
    <hyperlink xmlns:r="http://schemas.openxmlformats.org/officeDocument/2006/relationships" ref="F170" r:id="rId162"/>
  </hyperlinks>
  <pageMargins left="0.75" right="0.75" top="1" bottom="1" header="0.5" footer="0.5"/>
  <drawing xmlns:r="http://schemas.openxmlformats.org/officeDocument/2006/relationships" r:id="rId16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2026-10-29T13:44:15Z</dcterms:created>
  <dcterms:modified xsi:type="dcterms:W3CDTF">2026-10-29T13:44:15Z</dcterms:modified>
</cp:coreProperties>
</file>